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Илья\Desktop\3 курс 5 семестр\Механика сплошной среды\Практика\2 dz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3" i="1" l="1"/>
  <c r="F13" i="1"/>
  <c r="C4" i="1" l="1"/>
  <c r="C5" i="1" l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H15" i="1" l="1"/>
  <c r="P15" i="1"/>
  <c r="X15" i="1"/>
  <c r="I15" i="1"/>
  <c r="Q15" i="1"/>
  <c r="Y15" i="1"/>
  <c r="O15" i="1"/>
  <c r="J15" i="1"/>
  <c r="R15" i="1"/>
  <c r="G15" i="1"/>
  <c r="N15" i="1"/>
  <c r="K15" i="1"/>
  <c r="S15" i="1"/>
  <c r="L15" i="1"/>
  <c r="T15" i="1"/>
  <c r="M15" i="1"/>
  <c r="U15" i="1"/>
  <c r="V15" i="1"/>
  <c r="W15" i="1"/>
</calcChain>
</file>

<file path=xl/sharedStrings.xml><?xml version="1.0" encoding="utf-8"?>
<sst xmlns="http://schemas.openxmlformats.org/spreadsheetml/2006/main" count="12" uniqueCount="11">
  <si>
    <t>L</t>
  </si>
  <si>
    <t>dt</t>
  </si>
  <si>
    <t>dx</t>
  </si>
  <si>
    <t>t</t>
  </si>
  <si>
    <t>Cp</t>
  </si>
  <si>
    <t>ro</t>
  </si>
  <si>
    <t>lamda</t>
  </si>
  <si>
    <t>T_start</t>
  </si>
  <si>
    <t>T_end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</si>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</sst>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70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15556300143337E-2"/>
          <c:y val="5.3000514572950651E-2"/>
          <c:w val="0.88165611213491935"/>
          <c:h val="0.8775159084434655"/>
        </c:manualLayout>
      </c:layout>
      <c:scatterChart>
        <c:scatterStyle val="line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Лист1!$F$13:$Z$13</c:f>
              <c:numCache>
                <c:formatCode>General</c:formatCode>
                <c:ptCount val="21"/>
                <c:pt idx="0">
                  <c:v>1000</c:v>
                </c:pt>
                <c:pt idx="1">
                  <c:v>954.99492946366013</c:v>
                </c:pt>
                <c:pt idx="2">
                  <c:v>909.99010709703293</c:v>
                </c:pt>
                <c:pt idx="3">
                  <c:v>864.98528473040562</c:v>
                </c:pt>
                <c:pt idx="4">
                  <c:v>819.98118258033605</c:v>
                </c:pt>
                <c:pt idx="5">
                  <c:v>774.97708043026637</c:v>
                </c:pt>
                <c:pt idx="6">
                  <c:v>729.97410004378446</c:v>
                </c:pt>
                <c:pt idx="7">
                  <c:v>684.97111965730255</c:v>
                </c:pt>
                <c:pt idx="8">
                  <c:v>639.9695527754028</c:v>
                </c:pt>
                <c:pt idx="9">
                  <c:v>594.96798589350306</c:v>
                </c:pt>
                <c:pt idx="10">
                  <c:v>549.96798589350306</c:v>
                </c:pt>
                <c:pt idx="11">
                  <c:v>504.96798589350311</c:v>
                </c:pt>
                <c:pt idx="12">
                  <c:v>459.9695527754028</c:v>
                </c:pt>
                <c:pt idx="13">
                  <c:v>414.97111965730244</c:v>
                </c:pt>
                <c:pt idx="14">
                  <c:v>369.97410004378435</c:v>
                </c:pt>
                <c:pt idx="15">
                  <c:v>324.9770804302662</c:v>
                </c:pt>
                <c:pt idx="16">
                  <c:v>279.98118258033583</c:v>
                </c:pt>
                <c:pt idx="17">
                  <c:v>234.98528473040551</c:v>
                </c:pt>
                <c:pt idx="18">
                  <c:v>189.99010709703276</c:v>
                </c:pt>
                <c:pt idx="19">
                  <c:v>144.99492946366001</c:v>
                </c:pt>
                <c:pt idx="2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707088"/>
        <c:axId val="1778705456"/>
      </c:scatterChart>
      <c:valAx>
        <c:axId val="177870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8705456"/>
        <c:crosses val="autoZero"/>
        <c:crossBetween val="midCat"/>
      </c:valAx>
      <c:valAx>
        <c:axId val="177870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870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16</xdr:row>
      <xdr:rowOff>4761</xdr:rowOff>
    </xdr:from>
    <xdr:to>
      <xdr:col>25</xdr:col>
      <xdr:colOff>295275</xdr:colOff>
      <xdr:row>37</xdr:row>
      <xdr:rowOff>9524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24</xdr:col>
      <xdr:colOff>38099</xdr:colOff>
      <xdr:row>35</xdr:row>
      <xdr:rowOff>133350</xdr:rowOff>
    </xdr:from>
    <xdr:ext cx="571501" cy="245510"/>
    <xdr:sp macro="" textlink="">
      <xdr:nvSpPr>
        <xdr:cNvPr id="3" name="TextBox 2"/>
        <xdr:cNvSpPr txBox="1"/>
      </xdr:nvSpPr>
      <xdr:spPr>
        <a:xfrm>
          <a:off x="10306049" y="6800850"/>
          <a:ext cx="571501" cy="24551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L, [m]</a:t>
          </a:r>
          <a:endParaRPr lang="ru-RU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0.00151</cdr:x>
      <cdr:y>0.01268</cdr:y>
    </cdr:from>
    <cdr:to>
      <cdr:x>0.06139</cdr:x>
      <cdr:y>0.10014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12700" y="50800"/>
          <a:ext cx="504825" cy="35028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T, [C]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Z15"/>
  <sheetViews>
    <sheetView tabSelected="1" workbookViewId="0">
      <selection activeCell="N8" sqref="N8"/>
    </sheetView>
  </sheetViews>
  <sheetFormatPr defaultRowHeight="15" x14ac:dyDescent="0.25"/>
  <cols>
    <col min="2" max="2" width="7" bestFit="1" customWidth="1"/>
    <col min="3" max="3" width="12.5703125" bestFit="1" customWidth="1"/>
    <col min="5" max="5" width="6.140625" bestFit="1" customWidth="1"/>
    <col min="6" max="6" width="5" bestFit="1" customWidth="1"/>
    <col min="7" max="10" width="6" bestFit="1" customWidth="1"/>
    <col min="11" max="11" width="5" bestFit="1" customWidth="1"/>
    <col min="12" max="15" width="6" bestFit="1" customWidth="1"/>
    <col min="16" max="16" width="5" bestFit="1" customWidth="1"/>
    <col min="17" max="20" width="6" bestFit="1" customWidth="1"/>
    <col min="21" max="21" width="5" bestFit="1" customWidth="1"/>
    <col min="22" max="25" width="6" bestFit="1" customWidth="1"/>
    <col min="26" max="26" width="5" bestFit="1" customWidth="1"/>
  </cols>
  <sheetData>
    <row r="3" spans="2:26" x14ac:dyDescent="0.25">
      <c r="B3" s="1" t="s">
        <v>0</v>
      </c>
      <c r="C3" s="2">
        <v>0.24</v>
      </c>
    </row>
    <row r="4" spans="2:26" x14ac:dyDescent="0.25">
      <c r="B4" s="1" t="s">
        <v>2</v>
      </c>
      <c r="C4" s="2">
        <f>C3/20</f>
        <v>1.2E-2</v>
      </c>
    </row>
    <row r="5" spans="2:26" x14ac:dyDescent="0.25">
      <c r="B5" s="1" t="s">
        <v>1</v>
      </c>
      <c r="C5" s="4">
        <f>C9*C8*C4^2/(2*C10)</f>
        <v>0.62037988860759496</v>
      </c>
    </row>
    <row r="6" spans="2:26" x14ac:dyDescent="0.25">
      <c r="B6" s="1" t="s">
        <v>3</v>
      </c>
      <c r="C6" s="2">
        <v>500</v>
      </c>
      <c r="D6">
        <v>500.02619021772153</v>
      </c>
    </row>
    <row r="7" spans="2:26" x14ac:dyDescent="0.25">
      <c r="C7" s="3"/>
    </row>
    <row r="8" spans="2:26" x14ac:dyDescent="0.25">
      <c r="B8" s="1" t="s">
        <v>4</v>
      </c>
      <c r="C8" s="2">
        <v>381</v>
      </c>
    </row>
    <row r="9" spans="2:26" x14ac:dyDescent="0.25">
      <c r="B9" s="1" t="s">
        <v>5</v>
      </c>
      <c r="C9" s="2">
        <v>8933</v>
      </c>
    </row>
    <row r="10" spans="2:26" x14ac:dyDescent="0.25">
      <c r="B10" s="1" t="s">
        <v>6</v>
      </c>
      <c r="C10" s="2">
        <v>395</v>
      </c>
    </row>
    <row r="11" spans="2:26" x14ac:dyDescent="0.25">
      <c r="C11" s="3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</row>
    <row r="12" spans="2:26" x14ac:dyDescent="0.25">
      <c r="B12" s="1" t="s">
        <v>7</v>
      </c>
      <c r="C12" s="2">
        <v>1000</v>
      </c>
      <c r="E12" t="s">
        <v>0</v>
      </c>
      <c r="F12" s="3">
        <v>0</v>
      </c>
      <c r="G12" s="3">
        <f>F12+$C$4</f>
        <v>1.2E-2</v>
      </c>
      <c r="H12" s="3">
        <f>G12+$C$4</f>
        <v>2.4E-2</v>
      </c>
      <c r="I12" s="3">
        <f t="shared" ref="I12:Z12" si="0">H12+$C$4</f>
        <v>3.6000000000000004E-2</v>
      </c>
      <c r="J12" s="3">
        <f t="shared" si="0"/>
        <v>4.8000000000000001E-2</v>
      </c>
      <c r="K12" s="3">
        <f t="shared" si="0"/>
        <v>0.06</v>
      </c>
      <c r="L12" s="3">
        <f t="shared" si="0"/>
        <v>7.1999999999999995E-2</v>
      </c>
      <c r="M12" s="3">
        <f t="shared" si="0"/>
        <v>8.3999999999999991E-2</v>
      </c>
      <c r="N12" s="3">
        <f t="shared" si="0"/>
        <v>9.5999999999999988E-2</v>
      </c>
      <c r="O12" s="3">
        <f t="shared" si="0"/>
        <v>0.10799999999999998</v>
      </c>
      <c r="P12" s="3">
        <f t="shared" si="0"/>
        <v>0.11999999999999998</v>
      </c>
      <c r="Q12" s="3">
        <f t="shared" si="0"/>
        <v>0.13199999999999998</v>
      </c>
      <c r="R12" s="3">
        <f t="shared" si="0"/>
        <v>0.14399999999999999</v>
      </c>
      <c r="S12" s="3">
        <f t="shared" si="0"/>
        <v>0.156</v>
      </c>
      <c r="T12" s="3">
        <f t="shared" si="0"/>
        <v>0.16800000000000001</v>
      </c>
      <c r="U12" s="3">
        <f t="shared" si="0"/>
        <v>0.18000000000000002</v>
      </c>
      <c r="V12" s="3">
        <f t="shared" si="0"/>
        <v>0.19200000000000003</v>
      </c>
      <c r="W12" s="3">
        <f t="shared" si="0"/>
        <v>0.20400000000000004</v>
      </c>
      <c r="X12" s="3">
        <f t="shared" si="0"/>
        <v>0.21600000000000005</v>
      </c>
      <c r="Y12" s="3">
        <f t="shared" si="0"/>
        <v>0.22800000000000006</v>
      </c>
      <c r="Z12" s="3">
        <f t="shared" si="0"/>
        <v>0.24000000000000007</v>
      </c>
    </row>
    <row r="13" spans="2:26" x14ac:dyDescent="0.25">
      <c r="B13" s="1" t="s">
        <v>8</v>
      </c>
      <c r="C13" s="2">
        <v>100</v>
      </c>
      <c r="E13" t="s">
        <v>9</v>
      </c>
      <c r="F13" s="3">
        <f>C12</f>
        <v>1000</v>
      </c>
      <c r="G13" s="3">
        <v>954.99492946366013</v>
      </c>
      <c r="H13" s="3">
        <v>909.99010709703293</v>
      </c>
      <c r="I13" s="3">
        <v>864.98528473040562</v>
      </c>
      <c r="J13" s="3">
        <v>819.98118258033605</v>
      </c>
      <c r="K13" s="3">
        <v>774.97708043026637</v>
      </c>
      <c r="L13" s="3">
        <v>729.97410004378446</v>
      </c>
      <c r="M13" s="3">
        <v>684.97111965730255</v>
      </c>
      <c r="N13" s="3">
        <v>639.9695527754028</v>
      </c>
      <c r="O13" s="3">
        <v>594.96798589350306</v>
      </c>
      <c r="P13" s="3">
        <v>549.96798589350306</v>
      </c>
      <c r="Q13" s="3">
        <v>504.96798589350311</v>
      </c>
      <c r="R13" s="3">
        <v>459.9695527754028</v>
      </c>
      <c r="S13" s="3">
        <v>414.97111965730244</v>
      </c>
      <c r="T13" s="3">
        <v>369.97410004378435</v>
      </c>
      <c r="U13" s="3">
        <v>324.9770804302662</v>
      </c>
      <c r="V13" s="3">
        <v>279.98118258033583</v>
      </c>
      <c r="W13" s="3">
        <v>234.98528473040551</v>
      </c>
      <c r="X13" s="3">
        <v>189.99010709703276</v>
      </c>
      <c r="Y13" s="3">
        <v>144.99492946366001</v>
      </c>
      <c r="Z13" s="3">
        <f>C13</f>
        <v>100</v>
      </c>
    </row>
    <row r="15" spans="2:26" x14ac:dyDescent="0.25">
      <c r="E15" t="s">
        <v>10</v>
      </c>
      <c r="F15" s="3"/>
      <c r="G15" s="3">
        <f>G13+(($C$10*$C$5/($C$9*$C$8))*((H13-2*G13+F13)/($C$4^2)))</f>
        <v>954.99505354851647</v>
      </c>
      <c r="H15" s="3">
        <f>H13+(($C$10*$C$5/($C$9*$C$8))*((I13-2*H13+G13)/($C$4^2)))</f>
        <v>909.99010709703293</v>
      </c>
      <c r="I15" s="3">
        <f t="shared" ref="H15:Y15" si="1">I13+(($C$10*$C$5/($C$9*$C$8))*((J13-2*I13+H13)/($C$4^2)))</f>
        <v>864.98564483868449</v>
      </c>
      <c r="J15" s="3">
        <f t="shared" si="1"/>
        <v>819.98118258033605</v>
      </c>
      <c r="K15" s="3">
        <f t="shared" si="1"/>
        <v>774.97764131206031</v>
      </c>
      <c r="L15" s="3">
        <f t="shared" si="1"/>
        <v>729.97410004378446</v>
      </c>
      <c r="M15" s="3">
        <f t="shared" si="1"/>
        <v>684.97182640959363</v>
      </c>
      <c r="N15" s="3">
        <f t="shared" si="1"/>
        <v>639.9695527754028</v>
      </c>
      <c r="O15" s="3">
        <f t="shared" si="1"/>
        <v>594.96876933445287</v>
      </c>
      <c r="P15" s="3">
        <f t="shared" si="1"/>
        <v>549.96798589350306</v>
      </c>
      <c r="Q15" s="3">
        <f t="shared" si="1"/>
        <v>504.96876933445293</v>
      </c>
      <c r="R15" s="3">
        <f t="shared" si="1"/>
        <v>459.9695527754028</v>
      </c>
      <c r="S15" s="3">
        <f t="shared" si="1"/>
        <v>414.97182640959358</v>
      </c>
      <c r="T15" s="3">
        <f t="shared" si="1"/>
        <v>369.97410004378435</v>
      </c>
      <c r="U15" s="3">
        <f t="shared" si="1"/>
        <v>324.97764131206009</v>
      </c>
      <c r="V15" s="3">
        <f t="shared" si="1"/>
        <v>279.98118258033583</v>
      </c>
      <c r="W15" s="3">
        <f t="shared" si="1"/>
        <v>234.98564483868429</v>
      </c>
      <c r="X15" s="3">
        <f t="shared" si="1"/>
        <v>189.99010709703276</v>
      </c>
      <c r="Y15" s="3">
        <f t="shared" si="1"/>
        <v>144.99505354851638</v>
      </c>
    </row>
  </sheetData>
  <conditionalFormatting sqref="F13:Z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</dc:creator>
  <cp:lastModifiedBy>Илья</cp:lastModifiedBy>
  <dcterms:created xsi:type="dcterms:W3CDTF">2021-10-12T14:37:02Z</dcterms:created>
  <dcterms:modified xsi:type="dcterms:W3CDTF">2021-10-12T17:56:01Z</dcterms:modified>
</cp:coreProperties>
</file>