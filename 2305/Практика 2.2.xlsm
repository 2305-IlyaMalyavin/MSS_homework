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2 dz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7" i="1" s="1"/>
  <c r="Y17" i="1" l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Z17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C4" i="1"/>
  <c r="C5" i="1" s="1"/>
  <c r="G16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<sst xmlns="http://schemas.openxmlformats.org/spreadsheetml/2006/main" count="13" uniqueCount="12">
  <si>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</si>
  <si>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</si>
  <si>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</si>
  <si>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</si>
  <si>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</si>
  <si>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</si>
  <si>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</si>
  <si>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T_end</t>
  </si>
  <si>
    <t>q_start</t>
  </si>
  <si>
    <t>T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</si>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</sst>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Лист1!$F$12:$Z$12</c:f>
              <c:numCache>
                <c:formatCode>General</c:formatCode>
                <c:ptCount val="2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0.24000000000000007</c:v>
                </c:pt>
              </c:numCache>
            </c:numRef>
          </c:xVal>
          <c:yVal>
            <c:numRef>
              <c:f>Лист1!$F$13:$Z$13</c:f>
              <c:numCache>
                <c:formatCode>0</c:formatCode>
                <c:ptCount val="21"/>
                <c:pt idx="0">
                  <c:v>999.99999999642046</c:v>
                </c:pt>
                <c:pt idx="1">
                  <c:v>954.99999999642046</c:v>
                </c:pt>
                <c:pt idx="2">
                  <c:v>909.99999999644365</c:v>
                </c:pt>
                <c:pt idx="3">
                  <c:v>864.99999999648992</c:v>
                </c:pt>
                <c:pt idx="4">
                  <c:v>819.99999999655893</c:v>
                </c:pt>
                <c:pt idx="5">
                  <c:v>774.99999999665033</c:v>
                </c:pt>
                <c:pt idx="6">
                  <c:v>729.99999999676345</c:v>
                </c:pt>
                <c:pt idx="7">
                  <c:v>684.99999999689749</c:v>
                </c:pt>
                <c:pt idx="8">
                  <c:v>639.99999999705176</c:v>
                </c:pt>
                <c:pt idx="9">
                  <c:v>594.99999999722502</c:v>
                </c:pt>
                <c:pt idx="10">
                  <c:v>549.99999999741635</c:v>
                </c:pt>
                <c:pt idx="11">
                  <c:v>504.9999999976244</c:v>
                </c:pt>
                <c:pt idx="12">
                  <c:v>459.99999999784785</c:v>
                </c:pt>
                <c:pt idx="13">
                  <c:v>414.99999999808529</c:v>
                </c:pt>
                <c:pt idx="14">
                  <c:v>369.99999999833511</c:v>
                </c:pt>
                <c:pt idx="15">
                  <c:v>324.9999999985958</c:v>
                </c:pt>
                <c:pt idx="16">
                  <c:v>279.99999999886552</c:v>
                </c:pt>
                <c:pt idx="17">
                  <c:v>234.99999999914269</c:v>
                </c:pt>
                <c:pt idx="18">
                  <c:v>189.99999999942531</c:v>
                </c:pt>
                <c:pt idx="19">
                  <c:v>144.99999999971175</c:v>
                </c:pt>
                <c:pt idx="20" formatCode="General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0382512"/>
        <c:axId val="1410376528"/>
      </c:scatterChart>
      <c:valAx>
        <c:axId val="1410382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76528"/>
        <c:crosses val="autoZero"/>
        <c:crossBetween val="midCat"/>
      </c:valAx>
      <c:valAx>
        <c:axId val="1410376528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038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18</xdr:row>
      <xdr:rowOff>14287</xdr:rowOff>
    </xdr:from>
    <xdr:to>
      <xdr:col>18</xdr:col>
      <xdr:colOff>609599</xdr:colOff>
      <xdr:row>40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419100</xdr:colOff>
      <xdr:row>17</xdr:row>
      <xdr:rowOff>133350</xdr:rowOff>
    </xdr:from>
    <xdr:ext cx="184731" cy="264560"/>
    <xdr:sp macro="" textlink="">
      <xdr:nvSpPr>
        <xdr:cNvPr id="3" name="TextBox 2"/>
        <xdr:cNvSpPr txBox="1"/>
      </xdr:nvSpPr>
      <xdr:spPr>
        <a:xfrm>
          <a:off x="1028700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47625</xdr:colOff>
      <xdr:row>18</xdr:row>
      <xdr:rowOff>57150</xdr:rowOff>
    </xdr:from>
    <xdr:ext cx="485775" cy="264560"/>
    <xdr:sp macro="" textlink="">
      <xdr:nvSpPr>
        <xdr:cNvPr id="4" name="TextBox 3"/>
        <xdr:cNvSpPr txBox="1"/>
      </xdr:nvSpPr>
      <xdr:spPr>
        <a:xfrm>
          <a:off x="2486025" y="3486150"/>
          <a:ext cx="485775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T, </a:t>
          </a:r>
          <a:r>
            <a:rPr lang="en-US" sz="1100" baseline="0"/>
            <a:t>[C] </a:t>
          </a:r>
          <a:endParaRPr lang="ru-RU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0.93639</cdr:x>
      <cdr:y>0.92524</cdr:y>
    </cdr:from>
    <cdr:to>
      <cdr:x>0.99201</cdr:x>
      <cdr:y>0.98844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8553451" y="3873277"/>
          <a:ext cx="507999" cy="2645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 </a:t>
          </a:r>
          <a:r>
            <a:rPr lang="en-US" sz="1100" baseline="0"/>
            <a:t>[m] 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Z17"/>
  <sheetViews>
    <sheetView tabSelected="1" workbookViewId="0">
      <selection activeCell="E11" sqref="E11:Z13"/>
    </sheetView>
  </sheetViews>
  <sheetFormatPr defaultRowHeight="15" x14ac:dyDescent="0.25"/>
  <cols>
    <col min="3" max="3" width="12" bestFit="1" customWidth="1"/>
    <col min="6" max="6" width="12" bestFit="1" customWidth="1"/>
    <col min="25" max="25" width="12.28515625" bestFit="1" customWidth="1"/>
    <col min="26" max="26" width="11.28515625" bestFit="1" customWidth="1"/>
  </cols>
  <sheetData>
    <row r="3" spans="2:26" x14ac:dyDescent="0.25">
      <c r="B3" s="1" t="s">
        <v>0</v>
      </c>
      <c r="C3" s="2">
        <v>0.24</v>
      </c>
    </row>
    <row r="4" spans="2:26" x14ac:dyDescent="0.25">
      <c r="B4" s="1" t="s">
        <v>1</v>
      </c>
      <c r="C4" s="2">
        <f>C3/20</f>
        <v>1.2E-2</v>
      </c>
    </row>
    <row r="5" spans="2:26" x14ac:dyDescent="0.25">
      <c r="B5" s="1" t="s">
        <v>2</v>
      </c>
      <c r="C5" s="3">
        <f>C9*C8*C4^2/(2*C10)</f>
        <v>0.62037988860759496</v>
      </c>
    </row>
    <row r="6" spans="2:26" x14ac:dyDescent="0.25">
      <c r="B6" s="1" t="s">
        <v>3</v>
      </c>
      <c r="C6" s="2">
        <v>5000</v>
      </c>
      <c r="D6">
        <v>5000.2619021772152</v>
      </c>
    </row>
    <row r="7" spans="2:26" x14ac:dyDescent="0.25">
      <c r="C7" s="4"/>
    </row>
    <row r="8" spans="2:26" x14ac:dyDescent="0.25">
      <c r="B8" s="1" t="s">
        <v>4</v>
      </c>
      <c r="C8" s="2">
        <v>381</v>
      </c>
    </row>
    <row r="9" spans="2:26" x14ac:dyDescent="0.25">
      <c r="B9" s="1" t="s">
        <v>5</v>
      </c>
      <c r="C9" s="2">
        <v>8933</v>
      </c>
    </row>
    <row r="10" spans="2:26" x14ac:dyDescent="0.25">
      <c r="B10" s="1" t="s">
        <v>6</v>
      </c>
      <c r="C10" s="2">
        <v>395</v>
      </c>
    </row>
    <row r="11" spans="2:26" x14ac:dyDescent="0.25">
      <c r="C11" s="4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</row>
    <row r="12" spans="2:26" x14ac:dyDescent="0.25">
      <c r="B12" s="1" t="s">
        <v>8</v>
      </c>
      <c r="C12" s="2">
        <v>1481250</v>
      </c>
      <c r="E12" t="s">
        <v>0</v>
      </c>
      <c r="F12" s="4">
        <v>0</v>
      </c>
      <c r="G12" s="4">
        <f>F12+$C$4</f>
        <v>1.2E-2</v>
      </c>
      <c r="H12" s="4">
        <f>G12+$C$4</f>
        <v>2.4E-2</v>
      </c>
      <c r="I12" s="4">
        <f t="shared" ref="I12:Z12" si="0">H12+$C$4</f>
        <v>3.6000000000000004E-2</v>
      </c>
      <c r="J12" s="4">
        <f t="shared" si="0"/>
        <v>4.8000000000000001E-2</v>
      </c>
      <c r="K12" s="4">
        <f t="shared" si="0"/>
        <v>0.06</v>
      </c>
      <c r="L12" s="4">
        <f t="shared" si="0"/>
        <v>7.1999999999999995E-2</v>
      </c>
      <c r="M12" s="4">
        <f t="shared" si="0"/>
        <v>8.3999999999999991E-2</v>
      </c>
      <c r="N12" s="4">
        <f t="shared" si="0"/>
        <v>9.5999999999999988E-2</v>
      </c>
      <c r="O12" s="4">
        <f t="shared" si="0"/>
        <v>0.10799999999999998</v>
      </c>
      <c r="P12" s="4">
        <f t="shared" si="0"/>
        <v>0.11999999999999998</v>
      </c>
      <c r="Q12" s="4">
        <f t="shared" si="0"/>
        <v>0.13199999999999998</v>
      </c>
      <c r="R12" s="4">
        <f t="shared" si="0"/>
        <v>0.14399999999999999</v>
      </c>
      <c r="S12" s="4">
        <f t="shared" si="0"/>
        <v>0.156</v>
      </c>
      <c r="T12" s="4">
        <f t="shared" si="0"/>
        <v>0.16800000000000001</v>
      </c>
      <c r="U12" s="4">
        <f t="shared" si="0"/>
        <v>0.18000000000000002</v>
      </c>
      <c r="V12" s="4">
        <f t="shared" si="0"/>
        <v>0.19200000000000003</v>
      </c>
      <c r="W12" s="4">
        <f t="shared" si="0"/>
        <v>0.20400000000000004</v>
      </c>
      <c r="X12" s="4">
        <f t="shared" si="0"/>
        <v>0.21600000000000005</v>
      </c>
      <c r="Y12" s="4">
        <f t="shared" si="0"/>
        <v>0.22800000000000006</v>
      </c>
      <c r="Z12" s="4">
        <f t="shared" si="0"/>
        <v>0.24000000000000007</v>
      </c>
    </row>
    <row r="13" spans="2:26" x14ac:dyDescent="0.25">
      <c r="B13" s="1" t="s">
        <v>7</v>
      </c>
      <c r="C13" s="2">
        <v>100</v>
      </c>
      <c r="E13" t="s">
        <v>9</v>
      </c>
      <c r="F13" s="6">
        <f>(C12*C4/C10)+G13</f>
        <v>999.99999999642046</v>
      </c>
      <c r="G13" s="6">
        <v>954.99999999642046</v>
      </c>
      <c r="H13" s="6">
        <v>909.99999999644365</v>
      </c>
      <c r="I13" s="6">
        <v>864.99999999648992</v>
      </c>
      <c r="J13" s="6">
        <v>819.99999999655893</v>
      </c>
      <c r="K13" s="6">
        <v>774.99999999665033</v>
      </c>
      <c r="L13" s="6">
        <v>729.99999999676345</v>
      </c>
      <c r="M13" s="6">
        <v>684.99999999689749</v>
      </c>
      <c r="N13" s="6">
        <v>639.99999999705176</v>
      </c>
      <c r="O13" s="6">
        <v>594.99999999722502</v>
      </c>
      <c r="P13" s="6">
        <v>549.99999999741635</v>
      </c>
      <c r="Q13" s="6">
        <v>504.9999999976244</v>
      </c>
      <c r="R13" s="6">
        <v>459.99999999784785</v>
      </c>
      <c r="S13" s="6">
        <v>414.99999999808529</v>
      </c>
      <c r="T13" s="6">
        <v>369.99999999833511</v>
      </c>
      <c r="U13" s="6">
        <v>324.9999999985958</v>
      </c>
      <c r="V13" s="6">
        <v>279.99999999886552</v>
      </c>
      <c r="W13" s="6">
        <v>234.99999999914269</v>
      </c>
      <c r="X13" s="6">
        <v>189.99999999942531</v>
      </c>
      <c r="Y13" s="6">
        <v>144.99999999971175</v>
      </c>
      <c r="Z13" s="4">
        <f>C13</f>
        <v>100</v>
      </c>
    </row>
    <row r="16" spans="2:26" x14ac:dyDescent="0.25">
      <c r="E16" t="s">
        <v>10</v>
      </c>
      <c r="G16" s="7">
        <f>G13+(($C$10*$C$5/($C$9*$C$8))*((H13-2*G13+F13)/($C$4^2)))</f>
        <v>954.99999999643205</v>
      </c>
      <c r="H16" s="7">
        <f t="shared" ref="H16:Y16" si="1">H13+(($C$10*$C$5/($C$9*$C$8))*((I13-2*H13+G13)/($C$4^2)))</f>
        <v>909.99999999645524</v>
      </c>
      <c r="I16" s="7">
        <f t="shared" si="1"/>
        <v>864.99999999650129</v>
      </c>
      <c r="J16" s="7">
        <f t="shared" si="1"/>
        <v>819.99999999657007</v>
      </c>
      <c r="K16" s="7">
        <f t="shared" si="1"/>
        <v>774.99999999666124</v>
      </c>
      <c r="L16" s="7">
        <f t="shared" si="1"/>
        <v>729.99999999677391</v>
      </c>
      <c r="M16" s="7">
        <f t="shared" si="1"/>
        <v>684.9999999969076</v>
      </c>
      <c r="N16" s="7">
        <f t="shared" si="1"/>
        <v>639.9999999970612</v>
      </c>
      <c r="O16" s="7">
        <f t="shared" si="1"/>
        <v>594.999999997234</v>
      </c>
      <c r="P16" s="7">
        <f t="shared" si="1"/>
        <v>549.99999999742477</v>
      </c>
      <c r="Q16" s="7">
        <f t="shared" si="1"/>
        <v>504.99999999763213</v>
      </c>
      <c r="R16" s="7">
        <f t="shared" si="1"/>
        <v>459.99999999785484</v>
      </c>
      <c r="S16" s="7">
        <f t="shared" si="1"/>
        <v>414.99999999809148</v>
      </c>
      <c r="T16" s="7">
        <f t="shared" si="1"/>
        <v>369.99999999834051</v>
      </c>
      <c r="U16" s="7">
        <f t="shared" si="1"/>
        <v>324.99999999860029</v>
      </c>
      <c r="V16" s="7">
        <f t="shared" si="1"/>
        <v>279.99999999886927</v>
      </c>
      <c r="W16" s="7">
        <f t="shared" si="1"/>
        <v>234.99999999914542</v>
      </c>
      <c r="X16" s="7">
        <f t="shared" si="1"/>
        <v>189.99999999942722</v>
      </c>
      <c r="Y16" s="7">
        <f t="shared" si="1"/>
        <v>144.99999999971266</v>
      </c>
    </row>
    <row r="17" spans="5:26" x14ac:dyDescent="0.25">
      <c r="E17" t="s">
        <v>11</v>
      </c>
      <c r="F17">
        <v>1481250</v>
      </c>
      <c r="G17">
        <f>-$C$10*(G13-F13)/$C$4</f>
        <v>1481250</v>
      </c>
      <c r="H17">
        <f t="shared" ref="H17:Z17" si="2">-$C$10*(H13-G13)/$C$4</f>
        <v>1481249.9999992365</v>
      </c>
      <c r="I17">
        <f t="shared" si="2"/>
        <v>1481249.9999984768</v>
      </c>
      <c r="J17">
        <f t="shared" si="2"/>
        <v>1481249.9999977283</v>
      </c>
      <c r="K17">
        <f t="shared" si="2"/>
        <v>1481249.9999969914</v>
      </c>
      <c r="L17">
        <f t="shared" si="2"/>
        <v>1481249.9999962766</v>
      </c>
      <c r="M17">
        <f t="shared" si="2"/>
        <v>1481249.9999955881</v>
      </c>
      <c r="N17">
        <f t="shared" si="2"/>
        <v>1481249.999994922</v>
      </c>
      <c r="O17">
        <f t="shared" si="2"/>
        <v>1481249.9999942968</v>
      </c>
      <c r="P17">
        <f t="shared" si="2"/>
        <v>1481249.9999937017</v>
      </c>
      <c r="Q17">
        <f t="shared" si="2"/>
        <v>1481249.9999931518</v>
      </c>
      <c r="R17">
        <f t="shared" si="2"/>
        <v>1481249.9999926446</v>
      </c>
      <c r="S17">
        <f t="shared" si="2"/>
        <v>1481249.9999921843</v>
      </c>
      <c r="T17">
        <f t="shared" si="2"/>
        <v>1481249.9999917767</v>
      </c>
      <c r="U17">
        <f t="shared" si="2"/>
        <v>1481249.9999914193</v>
      </c>
      <c r="V17">
        <f t="shared" si="2"/>
        <v>1481249.9999911215</v>
      </c>
      <c r="W17">
        <f t="shared" si="2"/>
        <v>1481249.9999908765</v>
      </c>
      <c r="X17">
        <f t="shared" si="2"/>
        <v>1481249.9999906968</v>
      </c>
      <c r="Y17" s="5">
        <f>-$C$10*(Y13-X13)/$C$4</f>
        <v>1481249.9999905715</v>
      </c>
      <c r="Z17" s="5">
        <f t="shared" si="2"/>
        <v>1481249.9999905115</v>
      </c>
    </row>
  </sheetData>
  <conditionalFormatting sqref="F13:Z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2021-10-12T13:55:01Z</dcterms:created>
  <dcterms:modified xsi:type="dcterms:W3CDTF">2021-10-12T19:50:12Z</dcterms:modified>
</cp:coreProperties>
</file>