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Илья\Desktop\3 курс 5 семестр\Механика сплошной среды\Практика\2 dz\"/>
    </mc:Choice>
  </mc:AlternateContent>
  <bookViews>
    <workbookView xWindow="0" yWindow="0" windowWidth="28800" windowHeight="1243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1" l="1"/>
  <c r="H17" i="1"/>
  <c r="Y17" i="1"/>
  <c r="X17" i="1"/>
  <c r="C14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F17" i="1"/>
  <c r="G17" i="1" l="1"/>
  <c r="F13" i="1" l="1"/>
  <c r="Z13" i="1" l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C4" i="1"/>
  <c r="C5" i="1" s="1"/>
  <c r="J16" i="1" l="1"/>
  <c r="K16" i="1"/>
  <c r="S16" i="1"/>
  <c r="L16" i="1"/>
  <c r="T16" i="1"/>
  <c r="M16" i="1"/>
  <c r="U16" i="1"/>
  <c r="N16" i="1"/>
  <c r="V16" i="1"/>
  <c r="O16" i="1"/>
  <c r="W16" i="1"/>
  <c r="H16" i="1"/>
  <c r="P16" i="1"/>
  <c r="X16" i="1"/>
  <c r="I16" i="1"/>
  <c r="Q16" i="1"/>
  <c r="Y16" i="1"/>
  <c r="R16" i="1"/>
</calcChain>
</file>

<file path=xl/sharedStrings.xml><?xml version="1.0" encoding="utf-8"?>
<sst xmlns="http://schemas.openxmlformats.org/spreadsheetml/2006/main" count="15" uniqueCount="13">
  <si>
    <t>L</t>
  </si>
  <si>
    <t>dx</t>
  </si>
  <si>
    <t>dt</t>
  </si>
  <si>
    <t>t</t>
  </si>
  <si>
    <t>Cp</t>
  </si>
  <si>
    <t>ro</t>
  </si>
  <si>
    <t>lamda</t>
  </si>
  <si>
    <t>q_start</t>
  </si>
  <si>
    <t>T_end</t>
  </si>
  <si>
    <t>T</t>
  </si>
  <si>
    <t>T_start</t>
  </si>
  <si>
    <t>q</t>
  </si>
  <si>
    <t>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</si>
</sst>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Font="1" applyFill="1" applyBorder="1"/>
    <xf numFmtId="0" fontId="0" fillId="0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Лист1!$F$12:$Z$12</c:f>
              <c:numCache>
                <c:formatCode>General</c:formatCode>
                <c:ptCount val="21"/>
                <c:pt idx="0">
                  <c:v>0</c:v>
                </c:pt>
                <c:pt idx="1">
                  <c:v>1.2E-2</c:v>
                </c:pt>
                <c:pt idx="2">
                  <c:v>2.4E-2</c:v>
                </c:pt>
                <c:pt idx="3">
                  <c:v>3.6000000000000004E-2</c:v>
                </c:pt>
                <c:pt idx="4">
                  <c:v>4.8000000000000001E-2</c:v>
                </c:pt>
                <c:pt idx="5">
                  <c:v>0.06</c:v>
                </c:pt>
                <c:pt idx="6">
                  <c:v>7.1999999999999995E-2</c:v>
                </c:pt>
                <c:pt idx="7">
                  <c:v>8.3999999999999991E-2</c:v>
                </c:pt>
                <c:pt idx="8">
                  <c:v>9.5999999999999988E-2</c:v>
                </c:pt>
                <c:pt idx="9">
                  <c:v>0.10799999999999998</c:v>
                </c:pt>
                <c:pt idx="10">
                  <c:v>0.11999999999999998</c:v>
                </c:pt>
                <c:pt idx="11">
                  <c:v>0.13199999999999998</c:v>
                </c:pt>
                <c:pt idx="12">
                  <c:v>0.14399999999999999</c:v>
                </c:pt>
                <c:pt idx="13">
                  <c:v>0.156</c:v>
                </c:pt>
                <c:pt idx="14">
                  <c:v>0.16800000000000001</c:v>
                </c:pt>
                <c:pt idx="15">
                  <c:v>0.18000000000000002</c:v>
                </c:pt>
                <c:pt idx="16">
                  <c:v>0.19200000000000003</c:v>
                </c:pt>
                <c:pt idx="17">
                  <c:v>0.20400000000000004</c:v>
                </c:pt>
                <c:pt idx="18">
                  <c:v>0.21600000000000005</c:v>
                </c:pt>
                <c:pt idx="19">
                  <c:v>0.22800000000000006</c:v>
                </c:pt>
                <c:pt idx="20">
                  <c:v>0.24000000000000007</c:v>
                </c:pt>
              </c:numCache>
            </c:numRef>
          </c:xVal>
          <c:yVal>
            <c:numRef>
              <c:f>Лист1!$F$13:$Z$13</c:f>
              <c:numCache>
                <c:formatCode>0</c:formatCode>
                <c:ptCount val="21"/>
                <c:pt idx="0">
                  <c:v>1000</c:v>
                </c:pt>
                <c:pt idx="1">
                  <c:v>954.99492946366013</c:v>
                </c:pt>
                <c:pt idx="2">
                  <c:v>909.99010709703293</c:v>
                </c:pt>
                <c:pt idx="3">
                  <c:v>864.98528473040562</c:v>
                </c:pt>
                <c:pt idx="4">
                  <c:v>819.98118258033605</c:v>
                </c:pt>
                <c:pt idx="5">
                  <c:v>774.97708043026637</c:v>
                </c:pt>
                <c:pt idx="6">
                  <c:v>729.97410004378446</c:v>
                </c:pt>
                <c:pt idx="7">
                  <c:v>684.97111965730255</c:v>
                </c:pt>
                <c:pt idx="8">
                  <c:v>639.9695527754028</c:v>
                </c:pt>
                <c:pt idx="9">
                  <c:v>594.96798589350306</c:v>
                </c:pt>
                <c:pt idx="10">
                  <c:v>549.96798589350306</c:v>
                </c:pt>
                <c:pt idx="11">
                  <c:v>504.96798589350311</c:v>
                </c:pt>
                <c:pt idx="12">
                  <c:v>459.9695527754028</c:v>
                </c:pt>
                <c:pt idx="13">
                  <c:v>414.97111965730244</c:v>
                </c:pt>
                <c:pt idx="14">
                  <c:v>369.97410004378435</c:v>
                </c:pt>
                <c:pt idx="15">
                  <c:v>324.9770804302662</c:v>
                </c:pt>
                <c:pt idx="16">
                  <c:v>279.98118258033583</c:v>
                </c:pt>
                <c:pt idx="17">
                  <c:v>234.98528473040551</c:v>
                </c:pt>
                <c:pt idx="18">
                  <c:v>189.99010709703276</c:v>
                </c:pt>
                <c:pt idx="19">
                  <c:v>144.99492946366001</c:v>
                </c:pt>
                <c:pt idx="20" formatCode="General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51029952"/>
        <c:axId val="-551018528"/>
      </c:scatterChart>
      <c:valAx>
        <c:axId val="-55102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551018528"/>
        <c:crosses val="autoZero"/>
        <c:crossBetween val="midCat"/>
      </c:valAx>
      <c:valAx>
        <c:axId val="-55101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551029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790574</xdr:colOff>
      <xdr:row>18</xdr:row>
      <xdr:rowOff>14286</xdr:rowOff>
    </xdr:from>
    <xdr:to>
      <xdr:col>23</xdr:col>
      <xdr:colOff>523874</xdr:colOff>
      <xdr:row>38</xdr:row>
      <xdr:rowOff>57149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0.07787</cdr:y>
    </cdr:from>
    <cdr:to>
      <cdr:x>0.03774</cdr:x>
      <cdr:y>0.15451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00039"/>
          <a:ext cx="400050" cy="2952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T, [K]</a:t>
          </a:r>
          <a:endParaRPr lang="ru-RU" sz="1100"/>
        </a:p>
      </cdr:txBody>
    </cdr:sp>
  </cdr:relSizeAnchor>
  <cdr:relSizeAnchor xmlns:cdr="http://schemas.openxmlformats.org/drawingml/2006/chartDrawing">
    <cdr:from>
      <cdr:x>0.93651</cdr:x>
      <cdr:y>0.93078</cdr:y>
    </cdr:from>
    <cdr:to>
      <cdr:x>0.99191</cdr:x>
      <cdr:y>0.99753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9928225" y="3586164"/>
          <a:ext cx="587376" cy="25717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L, [m]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Z17"/>
  <sheetViews>
    <sheetView tabSelected="1" workbookViewId="0">
      <selection activeCell="J16" sqref="J16"/>
    </sheetView>
  </sheetViews>
  <sheetFormatPr defaultRowHeight="15" x14ac:dyDescent="0.25"/>
  <cols>
    <col min="2" max="2" width="7.140625" customWidth="1"/>
    <col min="3" max="3" width="12.7109375" bestFit="1" customWidth="1"/>
    <col min="4" max="4" width="12" bestFit="1" customWidth="1"/>
    <col min="5" max="5" width="7" customWidth="1"/>
    <col min="6" max="24" width="8" bestFit="1" customWidth="1"/>
    <col min="25" max="25" width="8.7109375" bestFit="1" customWidth="1"/>
    <col min="26" max="26" width="5" bestFit="1" customWidth="1"/>
  </cols>
  <sheetData>
    <row r="3" spans="2:26" x14ac:dyDescent="0.25">
      <c r="B3" s="1" t="s">
        <v>0</v>
      </c>
      <c r="C3" s="2">
        <v>0.24</v>
      </c>
    </row>
    <row r="4" spans="2:26" x14ac:dyDescent="0.25">
      <c r="B4" s="1" t="s">
        <v>1</v>
      </c>
      <c r="C4" s="2">
        <f>C3/20</f>
        <v>1.2E-2</v>
      </c>
    </row>
    <row r="5" spans="2:26" x14ac:dyDescent="0.25">
      <c r="B5" s="1" t="s">
        <v>2</v>
      </c>
      <c r="C5" s="3">
        <f>C9*C8*C4^2/(2*C10)</f>
        <v>0.62037988860759496</v>
      </c>
    </row>
    <row r="6" spans="2:26" x14ac:dyDescent="0.25">
      <c r="B6" s="1" t="s">
        <v>3</v>
      </c>
      <c r="C6" s="2">
        <v>500</v>
      </c>
      <c r="D6">
        <v>500.02619021772153</v>
      </c>
    </row>
    <row r="7" spans="2:26" x14ac:dyDescent="0.25">
      <c r="C7" s="4"/>
    </row>
    <row r="8" spans="2:26" x14ac:dyDescent="0.25">
      <c r="B8" s="1" t="s">
        <v>4</v>
      </c>
      <c r="C8" s="2">
        <v>381</v>
      </c>
    </row>
    <row r="9" spans="2:26" x14ac:dyDescent="0.25">
      <c r="B9" s="1" t="s">
        <v>5</v>
      </c>
      <c r="C9" s="2">
        <v>8933</v>
      </c>
    </row>
    <row r="10" spans="2:26" x14ac:dyDescent="0.25">
      <c r="B10" s="1" t="s">
        <v>6</v>
      </c>
      <c r="C10" s="2">
        <v>395</v>
      </c>
    </row>
    <row r="11" spans="2:26" x14ac:dyDescent="0.25">
      <c r="C11" s="4"/>
      <c r="F11" s="4">
        <v>1</v>
      </c>
      <c r="G11" s="4">
        <v>2</v>
      </c>
      <c r="H11" s="4">
        <v>3</v>
      </c>
      <c r="I11" s="4">
        <v>4</v>
      </c>
      <c r="J11" s="4">
        <v>5</v>
      </c>
      <c r="K11" s="4">
        <v>6</v>
      </c>
      <c r="L11" s="4">
        <v>7</v>
      </c>
      <c r="M11" s="4">
        <v>8</v>
      </c>
      <c r="N11" s="4">
        <v>9</v>
      </c>
      <c r="O11" s="4">
        <v>10</v>
      </c>
      <c r="P11" s="4">
        <v>11</v>
      </c>
      <c r="Q11" s="4">
        <v>12</v>
      </c>
      <c r="R11" s="4">
        <v>13</v>
      </c>
      <c r="S11" s="4">
        <v>14</v>
      </c>
      <c r="T11" s="4">
        <v>15</v>
      </c>
      <c r="U11" s="4">
        <v>16</v>
      </c>
      <c r="V11" s="4">
        <v>17</v>
      </c>
      <c r="W11" s="4">
        <v>18</v>
      </c>
      <c r="X11" s="4">
        <v>19</v>
      </c>
      <c r="Y11" s="4">
        <v>20</v>
      </c>
      <c r="Z11" s="4">
        <v>21</v>
      </c>
    </row>
    <row r="12" spans="2:26" x14ac:dyDescent="0.25">
      <c r="B12" s="1" t="s">
        <v>7</v>
      </c>
      <c r="C12" s="2">
        <v>1481250</v>
      </c>
      <c r="E12" t="s">
        <v>0</v>
      </c>
      <c r="F12" s="4">
        <v>0</v>
      </c>
      <c r="G12" s="4">
        <f>F12+$C$4</f>
        <v>1.2E-2</v>
      </c>
      <c r="H12" s="4">
        <f>G12+$C$4</f>
        <v>2.4E-2</v>
      </c>
      <c r="I12" s="4">
        <f t="shared" ref="I12:Z12" si="0">H12+$C$4</f>
        <v>3.6000000000000004E-2</v>
      </c>
      <c r="J12" s="4">
        <f t="shared" si="0"/>
        <v>4.8000000000000001E-2</v>
      </c>
      <c r="K12" s="4">
        <f t="shared" si="0"/>
        <v>0.06</v>
      </c>
      <c r="L12" s="4">
        <f t="shared" si="0"/>
        <v>7.1999999999999995E-2</v>
      </c>
      <c r="M12" s="4">
        <f t="shared" si="0"/>
        <v>8.3999999999999991E-2</v>
      </c>
      <c r="N12" s="4">
        <f t="shared" si="0"/>
        <v>9.5999999999999988E-2</v>
      </c>
      <c r="O12" s="4">
        <f t="shared" si="0"/>
        <v>0.10799999999999998</v>
      </c>
      <c r="P12" s="4">
        <f t="shared" si="0"/>
        <v>0.11999999999999998</v>
      </c>
      <c r="Q12" s="4">
        <f t="shared" si="0"/>
        <v>0.13199999999999998</v>
      </c>
      <c r="R12" s="4">
        <f t="shared" si="0"/>
        <v>0.14399999999999999</v>
      </c>
      <c r="S12" s="4">
        <f t="shared" si="0"/>
        <v>0.156</v>
      </c>
      <c r="T12" s="4">
        <f t="shared" si="0"/>
        <v>0.16800000000000001</v>
      </c>
      <c r="U12" s="4">
        <f t="shared" si="0"/>
        <v>0.18000000000000002</v>
      </c>
      <c r="V12" s="4">
        <f t="shared" si="0"/>
        <v>0.19200000000000003</v>
      </c>
      <c r="W12" s="4">
        <f t="shared" si="0"/>
        <v>0.20400000000000004</v>
      </c>
      <c r="X12" s="4">
        <f t="shared" si="0"/>
        <v>0.21600000000000005</v>
      </c>
      <c r="Y12" s="4">
        <f t="shared" si="0"/>
        <v>0.22800000000000006</v>
      </c>
      <c r="Z12" s="4">
        <f t="shared" si="0"/>
        <v>0.24000000000000007</v>
      </c>
    </row>
    <row r="13" spans="2:26" x14ac:dyDescent="0.25">
      <c r="B13" s="1" t="s">
        <v>8</v>
      </c>
      <c r="C13" s="2">
        <v>100</v>
      </c>
      <c r="E13" t="s">
        <v>9</v>
      </c>
      <c r="F13" s="5">
        <f>1000</f>
        <v>1000</v>
      </c>
      <c r="G13" s="5">
        <v>954.99492946366013</v>
      </c>
      <c r="H13" s="5">
        <v>909.99010709703293</v>
      </c>
      <c r="I13" s="5">
        <v>864.98528473040562</v>
      </c>
      <c r="J13" s="5">
        <v>819.98118258033605</v>
      </c>
      <c r="K13" s="5">
        <v>774.97708043026637</v>
      </c>
      <c r="L13" s="5">
        <v>729.97410004378446</v>
      </c>
      <c r="M13" s="5">
        <v>684.97111965730255</v>
      </c>
      <c r="N13" s="5">
        <v>639.9695527754028</v>
      </c>
      <c r="O13" s="5">
        <v>594.96798589350306</v>
      </c>
      <c r="P13" s="5">
        <v>549.96798589350306</v>
      </c>
      <c r="Q13" s="5">
        <v>504.96798589350311</v>
      </c>
      <c r="R13" s="5">
        <v>459.9695527754028</v>
      </c>
      <c r="S13" s="5">
        <v>414.97111965730244</v>
      </c>
      <c r="T13" s="5">
        <v>369.97410004378435</v>
      </c>
      <c r="U13" s="5">
        <v>324.9770804302662</v>
      </c>
      <c r="V13" s="5">
        <v>279.98118258033583</v>
      </c>
      <c r="W13" s="5">
        <v>234.98528473040551</v>
      </c>
      <c r="X13" s="5">
        <v>189.99010709703276</v>
      </c>
      <c r="Y13" s="5">
        <v>144.99492946366001</v>
      </c>
      <c r="Z13" s="4">
        <f>C13</f>
        <v>100</v>
      </c>
    </row>
    <row r="14" spans="2:26" x14ac:dyDescent="0.25">
      <c r="B14" s="6" t="s">
        <v>12</v>
      </c>
      <c r="C14" s="1">
        <f>C12/(G13-F13)</f>
        <v>-32912.958081111043</v>
      </c>
    </row>
    <row r="15" spans="2:26" x14ac:dyDescent="0.25">
      <c r="B15" s="6" t="s">
        <v>10</v>
      </c>
      <c r="C15" s="7">
        <v>1000</v>
      </c>
    </row>
    <row r="16" spans="2:26" x14ac:dyDescent="0.25">
      <c r="E16" t="s">
        <v>10</v>
      </c>
      <c r="G16">
        <f>G13+(($C$10*$C$5)/($C$9*$C$8))*((H13-2*G13+F13)/($C$4^2))</f>
        <v>954.99505354851647</v>
      </c>
      <c r="H16">
        <f t="shared" ref="H16:Y16" si="1">H13+(($C$10*$C$5)/($C$9*$C$8))*((I13-2*H13+G13)/($C$4^2))</f>
        <v>909.99010709703293</v>
      </c>
      <c r="I16">
        <f t="shared" si="1"/>
        <v>864.98564483868449</v>
      </c>
      <c r="J16">
        <f t="shared" si="1"/>
        <v>819.98118258033605</v>
      </c>
      <c r="K16">
        <f t="shared" si="1"/>
        <v>774.97764131206031</v>
      </c>
      <c r="L16">
        <f t="shared" si="1"/>
        <v>729.97410004378446</v>
      </c>
      <c r="M16">
        <f t="shared" si="1"/>
        <v>684.97182640959363</v>
      </c>
      <c r="N16">
        <f t="shared" si="1"/>
        <v>639.9695527754028</v>
      </c>
      <c r="O16">
        <f t="shared" si="1"/>
        <v>594.96876933445287</v>
      </c>
      <c r="P16">
        <f t="shared" si="1"/>
        <v>549.96798589350306</v>
      </c>
      <c r="Q16">
        <f t="shared" si="1"/>
        <v>504.96876933445293</v>
      </c>
      <c r="R16">
        <f t="shared" si="1"/>
        <v>459.9695527754028</v>
      </c>
      <c r="S16">
        <f t="shared" si="1"/>
        <v>414.97182640959358</v>
      </c>
      <c r="T16">
        <f t="shared" si="1"/>
        <v>369.97410004378435</v>
      </c>
      <c r="U16">
        <f t="shared" si="1"/>
        <v>324.97764131206009</v>
      </c>
      <c r="V16">
        <f t="shared" si="1"/>
        <v>279.98118258033583</v>
      </c>
      <c r="W16">
        <f t="shared" si="1"/>
        <v>234.98564483868429</v>
      </c>
      <c r="X16">
        <f t="shared" si="1"/>
        <v>189.99010709703276</v>
      </c>
      <c r="Y16">
        <f t="shared" si="1"/>
        <v>144.99505354851638</v>
      </c>
    </row>
    <row r="17" spans="5:25" x14ac:dyDescent="0.25">
      <c r="E17" t="s">
        <v>11</v>
      </c>
      <c r="F17">
        <f>C12</f>
        <v>1481250</v>
      </c>
      <c r="G17">
        <f>$C$14*(G16-$F$13)</f>
        <v>1481245.9160003248</v>
      </c>
      <c r="H17">
        <f>-($C$10/$C$4)*(H13-G13)</f>
        <v>1481408.7362348118</v>
      </c>
      <c r="I17">
        <f t="shared" ref="I17:X17" si="2">-($C$10/$C$4)*(I13-H13)</f>
        <v>1481408.7362348156</v>
      </c>
      <c r="J17">
        <f t="shared" si="2"/>
        <v>1481385.0291064566</v>
      </c>
      <c r="K17">
        <f t="shared" si="2"/>
        <v>1481385.0291064603</v>
      </c>
      <c r="L17">
        <f t="shared" si="2"/>
        <v>1481348.1043883627</v>
      </c>
      <c r="M17">
        <f t="shared" si="2"/>
        <v>1481348.1043883627</v>
      </c>
      <c r="N17">
        <f t="shared" si="2"/>
        <v>1481301.5765292</v>
      </c>
      <c r="O17">
        <f t="shared" si="2"/>
        <v>1481301.5765292</v>
      </c>
      <c r="P17">
        <f t="shared" si="2"/>
        <v>1481250</v>
      </c>
      <c r="Q17">
        <f t="shared" si="2"/>
        <v>1481249.9999999979</v>
      </c>
      <c r="R17">
        <f t="shared" si="2"/>
        <v>1481198.4234708017</v>
      </c>
      <c r="S17">
        <f t="shared" si="2"/>
        <v>1481198.4234708035</v>
      </c>
      <c r="T17">
        <f t="shared" si="2"/>
        <v>1481151.895611637</v>
      </c>
      <c r="U17">
        <f t="shared" si="2"/>
        <v>1481151.8956116389</v>
      </c>
      <c r="V17">
        <f t="shared" si="2"/>
        <v>1481114.9708935414</v>
      </c>
      <c r="W17">
        <f t="shared" si="2"/>
        <v>1481114.9708935395</v>
      </c>
      <c r="X17">
        <f>-($C$10/$C$4)*(X13-W13)</f>
        <v>1481091.2637651861</v>
      </c>
      <c r="Y17">
        <f>-($C$10/$C$4)*(Y13-X13)</f>
        <v>1481091.2637651861</v>
      </c>
    </row>
  </sheetData>
  <conditionalFormatting sqref="F13:Z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</dc:creator>
  <cp:lastModifiedBy>Илья</cp:lastModifiedBy>
  <dcterms:created xsi:type="dcterms:W3CDTF">2021-10-12T17:00:35Z</dcterms:created>
  <dcterms:modified xsi:type="dcterms:W3CDTF">2021-10-19T12:50:07Z</dcterms:modified>
</cp:coreProperties>
</file>