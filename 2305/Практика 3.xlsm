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Илья\Desktop\3 курс 5 семестр\Механика сплошной среды\Практика\3 dz\"/>
    </mc:Choice>
  </mc:AlternateContent>
  <bookViews>
    <workbookView xWindow="0" yWindow="0" windowWidth="28800" windowHeight="12435"/>
  </bookViews>
  <sheets>
    <sheet name="Неявная" sheetId="1" r:id="rId1"/>
    <sheet name="Явная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G16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H13" i="2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G13" i="2"/>
  <c r="C4" i="2"/>
  <c r="C6" i="2" s="1"/>
  <c r="F23" i="1"/>
  <c r="G23" i="1"/>
  <c r="C19" i="1" l="1"/>
  <c r="G21" i="1" s="1"/>
  <c r="C18" i="1"/>
  <c r="C4" i="1"/>
  <c r="C20" i="1"/>
  <c r="H21" i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I23" i="1"/>
  <c r="AJ16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G18" i="1"/>
  <c r="O23" i="1"/>
  <c r="N23" i="1"/>
  <c r="M23" i="1"/>
  <c r="L23" i="1"/>
  <c r="K23" i="1"/>
  <c r="J23" i="1"/>
  <c r="H23" i="1"/>
  <c r="I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F22" i="1"/>
  <c r="H13" i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G13" i="1"/>
  <c r="G22" i="1" l="1"/>
  <c r="H22" i="1" s="1"/>
  <c r="I22" i="1" s="1"/>
  <c r="J22" i="1" s="1"/>
  <c r="K22" i="1" l="1"/>
  <c r="L22" i="1" s="1"/>
  <c r="M22" i="1" s="1"/>
  <c r="N22" i="1" s="1"/>
  <c r="O22" i="1" s="1"/>
  <c r="P22" i="1" s="1"/>
  <c r="Q22" i="1" s="1"/>
  <c r="R22" i="1" s="1"/>
  <c r="S22" i="1" s="1"/>
  <c r="T22" i="1" s="1"/>
  <c r="U22" i="1" s="1"/>
  <c r="V22" i="1" s="1"/>
  <c r="W22" i="1" s="1"/>
  <c r="X22" i="1" s="1"/>
  <c r="Y22" i="1" s="1"/>
  <c r="Z22" i="1" s="1"/>
  <c r="AA22" i="1" s="1"/>
  <c r="AB22" i="1" s="1"/>
  <c r="AC22" i="1" s="1"/>
  <c r="AD22" i="1" s="1"/>
  <c r="AE22" i="1" s="1"/>
  <c r="AF22" i="1" s="1"/>
  <c r="AG22" i="1" s="1"/>
  <c r="AH22" i="1" s="1"/>
  <c r="AI22" i="1" s="1"/>
  <c r="AI16" i="1" s="1"/>
  <c r="AH16" i="1" s="1"/>
  <c r="AG16" i="1" s="1"/>
  <c r="AF16" i="1" s="1"/>
  <c r="AE16" i="1" s="1"/>
  <c r="AD16" i="1" s="1"/>
  <c r="AC16" i="1" s="1"/>
  <c r="AB16" i="1" s="1"/>
  <c r="AA16" i="1" s="1"/>
  <c r="Z16" i="1" s="1"/>
  <c r="Y16" i="1" s="1"/>
  <c r="X16" i="1" s="1"/>
  <c r="W16" i="1" s="1"/>
  <c r="V16" i="1" s="1"/>
  <c r="U16" i="1" s="1"/>
  <c r="T16" i="1" s="1"/>
  <c r="S16" i="1" s="1"/>
  <c r="R16" i="1" s="1"/>
  <c r="Q16" i="1" s="1"/>
  <c r="P16" i="1" s="1"/>
  <c r="O16" i="1" s="1"/>
  <c r="N16" i="1" s="1"/>
  <c r="M16" i="1" s="1"/>
  <c r="L16" i="1" s="1"/>
  <c r="K16" i="1" s="1"/>
  <c r="J16" i="1" s="1"/>
  <c r="I16" i="1" s="1"/>
  <c r="H16" i="1" s="1"/>
  <c r="G16" i="1" s="1"/>
</calcChain>
</file>

<file path=xl/sharedStrings.xml><?xml version="1.0" encoding="utf-8"?>
<sst xmlns="http://schemas.openxmlformats.org/spreadsheetml/2006/main" count="32" uniqueCount="18">
  <si>
    <t>L</t>
  </si>
  <si>
    <t>dx</t>
  </si>
  <si>
    <t>t</t>
  </si>
  <si>
    <t>dt</t>
  </si>
  <si>
    <t>Cp</t>
  </si>
  <si>
    <t>ro</t>
  </si>
  <si>
    <t>lamda</t>
  </si>
  <si>
    <t>T_start</t>
  </si>
  <si>
    <t>T_end</t>
  </si>
  <si>
    <t>A</t>
  </si>
  <si>
    <t>B</t>
  </si>
  <si>
    <t>C</t>
  </si>
  <si>
    <t>T</t>
  </si>
  <si>
    <t>T_iter</t>
  </si>
  <si>
    <t>q</t>
  </si>
  <si>
    <t>α</t>
  </si>
  <si>
    <t>β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</si>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</sst>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0.0000"/>
    <numFmt numFmtId="171" formatCode="0.0E+00"/>
    <numFmt numFmtId="172" formatCode="0E+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21"/>
            <c:marker>
              <c:symbol val="none"/>
            </c:marker>
            <c:bubble3D val="0"/>
          </c:dPt>
          <c:xVal>
            <c:numRef>
              <c:f>Неявная!$F$13:$AJ$13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7712240"/>
        <c:axId val="-507712784"/>
      </c:scatterChart>
      <c:valAx>
        <c:axId val="-50771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507712784"/>
        <c:crosses val="autoZero"/>
        <c:crossBetween val="midCat"/>
      </c:valAx>
      <c:valAx>
        <c:axId val="-507712784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50771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21"/>
            <c:marker>
              <c:symbol val="none"/>
            </c:marker>
            <c:bubble3D val="0"/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Неявная!$F$13:$AJ$13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0"/>
        </c:ser>
        <c:ser>
          <c:idx val="1"/>
          <c:order val="1"/>
          <c:tx>
            <c:v>zdfyfz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Явная!$F$13:$AJ$13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Явная!$F$14:$AJ$14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141.55671337374596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72.26118711460424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94.888886025938561</c:v>
                </c:pt>
                <c:pt idx="3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3728400"/>
        <c:axId val="-383727856"/>
      </c:scatterChart>
      <c:valAx>
        <c:axId val="-38372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383727856"/>
        <c:crosses val="autoZero"/>
        <c:crossBetween val="midCat"/>
      </c:valAx>
      <c:valAx>
        <c:axId val="-383727856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383728400"/>
        <c:crosses val="autoZero"/>
        <c:crossBetween val="midCat"/>
      </c:valAx>
      <c:spPr>
        <a:noFill/>
        <a:ln w="22225"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Явная!$F$13:$AJ$13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Явная!$F$14:$AJ$14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141.55671337374596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72.26118711460424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94.888886025938561</c:v>
                </c:pt>
                <c:pt idx="3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3722960"/>
        <c:axId val="-383728944"/>
      </c:scatterChart>
      <c:valAx>
        <c:axId val="-38372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383728944"/>
        <c:crosses val="autoZero"/>
        <c:crossBetween val="midCat"/>
      </c:valAx>
      <c:valAx>
        <c:axId val="-38372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38372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476248</xdr:colOff>
      <xdr:row>24</xdr:row>
      <xdr:rowOff>14287</xdr:rowOff>
    </xdr:from>
    <xdr:to>
      <xdr:col>14</xdr:col>
      <xdr:colOff>22411</xdr:colOff>
      <xdr:row>43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28575</xdr:colOff>
      <xdr:row>24</xdr:row>
      <xdr:rowOff>38100</xdr:rowOff>
    </xdr:from>
    <xdr:ext cx="514350" cy="264560"/>
    <xdr:sp macro="" textlink="">
      <xdr:nvSpPr>
        <xdr:cNvPr id="3" name="TextBox 2"/>
        <xdr:cNvSpPr txBox="1"/>
      </xdr:nvSpPr>
      <xdr:spPr>
        <a:xfrm>
          <a:off x="2181225" y="4610100"/>
          <a:ext cx="514350" cy="26456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T,</a:t>
          </a:r>
          <a:r>
            <a:rPr lang="en-US" sz="1100" baseline="0"/>
            <a:t> [C]</a:t>
          </a:r>
          <a:endParaRPr lang="ru-RU" sz="1100"/>
        </a:p>
      </xdr:txBody>
    </xdr:sp>
    <xdr:clientData/>
  </xdr:oneCellAnchor>
  <xdr:twoCellAnchor>
    <xdr:from>
      <xdr:col>16</xdr:col>
      <xdr:colOff>27215</xdr:colOff>
      <xdr:row>24</xdr:row>
      <xdr:rowOff>29615</xdr:rowOff>
    </xdr:from>
    <xdr:to>
      <xdr:col>26</xdr:col>
      <xdr:colOff>12008</xdr:colOff>
      <xdr:row>43</xdr:row>
      <xdr:rowOff>139153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0.93264</cdr:x>
      <cdr:y>0.92629</cdr:y>
    </cdr:from>
    <cdr:to>
      <cdr:x>0.99464</cdr:x>
      <cdr:y>0.99724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7737475" y="3454177"/>
          <a:ext cx="514350" cy="2645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L,</a:t>
          </a:r>
          <a:r>
            <a:rPr lang="en-US" sz="1100" baseline="0"/>
            <a:t> [m]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0.93264</cdr:x>
      <cdr:y>0.92629</cdr:y>
    </cdr:from>
    <cdr:to>
      <cdr:x>0.99464</cdr:x>
      <cdr:y>0.99724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7737475" y="3454177"/>
          <a:ext cx="514350" cy="2645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L,</a:t>
          </a:r>
          <a:r>
            <a:rPr lang="en-US" sz="1100" baseline="0"/>
            <a:t> [m]</a:t>
          </a:r>
          <a:endParaRPr lang="ru-RU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19</xdr:row>
      <xdr:rowOff>185736</xdr:rowOff>
    </xdr:from>
    <xdr:to>
      <xdr:col>18</xdr:col>
      <xdr:colOff>590550</xdr:colOff>
      <xdr:row>38</xdr:row>
      <xdr:rowOff>19049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0.00378</cdr:x>
      <cdr:y>0.09471</cdr:y>
    </cdr:from>
    <cdr:to>
      <cdr:x>0.05095</cdr:x>
      <cdr:y>0.17133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41275" y="327025"/>
          <a:ext cx="514350" cy="2645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T,</a:t>
          </a:r>
          <a:r>
            <a:rPr lang="en-US" sz="1100" baseline="0"/>
            <a:t> [C]</a:t>
          </a:r>
          <a:endParaRPr lang="ru-RU" sz="1100"/>
        </a:p>
      </cdr:txBody>
    </cdr:sp>
  </cdr:relSizeAnchor>
  <cdr:relSizeAnchor xmlns:cdr="http://schemas.openxmlformats.org/drawingml/2006/chartDrawing">
    <cdr:from>
      <cdr:x>0.95022</cdr:x>
      <cdr:y>0.91678</cdr:y>
    </cdr:from>
    <cdr:to>
      <cdr:x>0.99825</cdr:x>
      <cdr:y>0.9934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363199" y="3165475"/>
          <a:ext cx="523875" cy="2645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L,</a:t>
          </a:r>
          <a:r>
            <a:rPr lang="en-US" sz="1100" baseline="0"/>
            <a:t> [m]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4"/>
  <sheetViews>
    <sheetView tabSelected="1" zoomScale="70" zoomScaleNormal="70" workbookViewId="0">
      <selection activeCell="O34" sqref="O34"/>
    </sheetView>
  </sheetViews>
  <sheetFormatPr defaultRowHeight="15" x14ac:dyDescent="0.25"/>
  <cols>
    <col min="2" max="2" width="7" bestFit="1" customWidth="1"/>
    <col min="3" max="3" width="9" bestFit="1" customWidth="1"/>
    <col min="4" max="4" width="7.140625" customWidth="1"/>
    <col min="5" max="5" width="6.140625" bestFit="1" customWidth="1"/>
    <col min="6" max="6" width="11.85546875" bestFit="1" customWidth="1"/>
    <col min="7" max="35" width="9.42578125" bestFit="1" customWidth="1"/>
    <col min="36" max="36" width="8.28515625" bestFit="1" customWidth="1"/>
  </cols>
  <sheetData>
    <row r="3" spans="2:36" x14ac:dyDescent="0.25">
      <c r="B3" s="1" t="s">
        <v>0</v>
      </c>
      <c r="C3" s="2">
        <v>0.1</v>
      </c>
    </row>
    <row r="4" spans="2:36" x14ac:dyDescent="0.25">
      <c r="B4" s="1" t="s">
        <v>1</v>
      </c>
      <c r="C4" s="4">
        <f>C3/30</f>
        <v>3.3333333333333335E-3</v>
      </c>
      <c r="D4">
        <v>0.10333333333333335</v>
      </c>
    </row>
    <row r="5" spans="2:36" x14ac:dyDescent="0.25">
      <c r="B5" s="1" t="s">
        <v>2</v>
      </c>
      <c r="C5" s="5">
        <v>60</v>
      </c>
      <c r="D5">
        <v>62</v>
      </c>
    </row>
    <row r="6" spans="2:36" x14ac:dyDescent="0.25">
      <c r="B6" s="1" t="s">
        <v>3</v>
      </c>
      <c r="C6" s="5">
        <f>2</f>
        <v>2</v>
      </c>
    </row>
    <row r="7" spans="2:36" x14ac:dyDescent="0.25">
      <c r="C7" s="3"/>
    </row>
    <row r="8" spans="2:36" x14ac:dyDescent="0.25">
      <c r="C8" s="3"/>
    </row>
    <row r="9" spans="2:36" x14ac:dyDescent="0.25">
      <c r="B9" s="1" t="s">
        <v>4</v>
      </c>
      <c r="C9" s="2">
        <v>460</v>
      </c>
    </row>
    <row r="10" spans="2:36" x14ac:dyDescent="0.25">
      <c r="B10" s="1" t="s">
        <v>5</v>
      </c>
      <c r="C10" s="2">
        <v>7800</v>
      </c>
    </row>
    <row r="11" spans="2:36" x14ac:dyDescent="0.25">
      <c r="B11" s="1" t="s">
        <v>6</v>
      </c>
      <c r="C11" s="2">
        <v>46</v>
      </c>
    </row>
    <row r="12" spans="2:36" x14ac:dyDescent="0.25">
      <c r="C12" s="3"/>
      <c r="F12" s="3">
        <v>1</v>
      </c>
      <c r="G12" s="3">
        <v>2</v>
      </c>
      <c r="H12" s="3">
        <v>3</v>
      </c>
      <c r="I12" s="3">
        <v>4</v>
      </c>
      <c r="J12" s="3">
        <v>5</v>
      </c>
      <c r="K12" s="3">
        <v>6</v>
      </c>
      <c r="L12" s="3">
        <v>7</v>
      </c>
      <c r="M12" s="3">
        <v>8</v>
      </c>
      <c r="N12" s="3">
        <v>9</v>
      </c>
      <c r="O12" s="3">
        <v>10</v>
      </c>
      <c r="P12" s="3">
        <v>11</v>
      </c>
      <c r="Q12" s="3">
        <v>12</v>
      </c>
      <c r="R12" s="3">
        <v>13</v>
      </c>
      <c r="S12" s="3">
        <v>14</v>
      </c>
      <c r="T12" s="3">
        <v>15</v>
      </c>
      <c r="U12" s="3">
        <v>16</v>
      </c>
      <c r="V12" s="3">
        <v>17</v>
      </c>
      <c r="W12" s="3">
        <v>18</v>
      </c>
      <c r="X12" s="3">
        <v>19</v>
      </c>
      <c r="Y12" s="3">
        <v>20</v>
      </c>
      <c r="Z12" s="3">
        <v>21</v>
      </c>
      <c r="AA12" s="3">
        <v>22</v>
      </c>
      <c r="AB12" s="3">
        <v>23</v>
      </c>
      <c r="AC12" s="3">
        <v>24</v>
      </c>
      <c r="AD12" s="3">
        <v>25</v>
      </c>
      <c r="AE12" s="3">
        <v>26</v>
      </c>
      <c r="AF12" s="3">
        <v>27</v>
      </c>
      <c r="AG12" s="3">
        <v>28</v>
      </c>
      <c r="AH12" s="3">
        <v>29</v>
      </c>
      <c r="AI12" s="3">
        <v>30</v>
      </c>
      <c r="AJ12" s="3">
        <v>31</v>
      </c>
    </row>
    <row r="13" spans="2:36" x14ac:dyDescent="0.25">
      <c r="C13" s="3"/>
      <c r="E13" t="s">
        <v>0</v>
      </c>
      <c r="F13" s="7">
        <v>0</v>
      </c>
      <c r="G13" s="7">
        <f>$C$4+F13</f>
        <v>3.3333333333333335E-3</v>
      </c>
      <c r="H13" s="7">
        <f t="shared" ref="H13:AJ13" si="0">$C$4+G13</f>
        <v>6.6666666666666671E-3</v>
      </c>
      <c r="I13" s="7">
        <f t="shared" si="0"/>
        <v>0.01</v>
      </c>
      <c r="J13" s="7">
        <f t="shared" si="0"/>
        <v>1.3333333333333334E-2</v>
      </c>
      <c r="K13" s="7">
        <f t="shared" si="0"/>
        <v>1.6666666666666666E-2</v>
      </c>
      <c r="L13" s="7">
        <f t="shared" si="0"/>
        <v>0.02</v>
      </c>
      <c r="M13" s="7">
        <f t="shared" si="0"/>
        <v>2.3333333333333334E-2</v>
      </c>
      <c r="N13" s="7">
        <f t="shared" si="0"/>
        <v>2.6666666666666668E-2</v>
      </c>
      <c r="O13" s="7">
        <f t="shared" si="0"/>
        <v>3.0000000000000002E-2</v>
      </c>
      <c r="P13" s="7">
        <f t="shared" si="0"/>
        <v>3.3333333333333333E-2</v>
      </c>
      <c r="Q13" s="7">
        <f t="shared" si="0"/>
        <v>3.6666666666666667E-2</v>
      </c>
      <c r="R13" s="7">
        <f t="shared" si="0"/>
        <v>0.04</v>
      </c>
      <c r="S13" s="7">
        <f t="shared" si="0"/>
        <v>4.3333333333333335E-2</v>
      </c>
      <c r="T13" s="7">
        <f t="shared" si="0"/>
        <v>4.6666666666666669E-2</v>
      </c>
      <c r="U13" s="7">
        <f t="shared" si="0"/>
        <v>0.05</v>
      </c>
      <c r="V13" s="7">
        <f t="shared" si="0"/>
        <v>5.3333333333333337E-2</v>
      </c>
      <c r="W13" s="7">
        <f t="shared" si="0"/>
        <v>5.6666666666666671E-2</v>
      </c>
      <c r="X13" s="7">
        <f t="shared" si="0"/>
        <v>6.0000000000000005E-2</v>
      </c>
      <c r="Y13" s="7">
        <f t="shared" si="0"/>
        <v>6.3333333333333339E-2</v>
      </c>
      <c r="Z13" s="7">
        <f t="shared" si="0"/>
        <v>6.6666666666666666E-2</v>
      </c>
      <c r="AA13" s="7">
        <f t="shared" si="0"/>
        <v>6.9999999999999993E-2</v>
      </c>
      <c r="AB13" s="7">
        <f t="shared" si="0"/>
        <v>7.333333333333332E-2</v>
      </c>
      <c r="AC13" s="7">
        <f t="shared" si="0"/>
        <v>7.6666666666666647E-2</v>
      </c>
      <c r="AD13" s="7">
        <f t="shared" si="0"/>
        <v>7.9999999999999974E-2</v>
      </c>
      <c r="AE13" s="7">
        <f t="shared" si="0"/>
        <v>8.3333333333333301E-2</v>
      </c>
      <c r="AF13" s="7">
        <f t="shared" si="0"/>
        <v>8.6666666666666628E-2</v>
      </c>
      <c r="AG13" s="7">
        <f t="shared" si="0"/>
        <v>8.9999999999999955E-2</v>
      </c>
      <c r="AH13" s="7">
        <f t="shared" si="0"/>
        <v>9.3333333333333282E-2</v>
      </c>
      <c r="AI13" s="7">
        <f t="shared" si="0"/>
        <v>9.6666666666666609E-2</v>
      </c>
      <c r="AJ13" s="7">
        <f t="shared" si="0"/>
        <v>9.9999999999999936E-2</v>
      </c>
    </row>
    <row r="14" spans="2:36" x14ac:dyDescent="0.25">
      <c r="B14" s="1" t="s">
        <v>7</v>
      </c>
      <c r="C14" s="2">
        <v>300</v>
      </c>
      <c r="E14" t="s">
        <v>12</v>
      </c>
      <c r="F14" s="3">
        <v>300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100</v>
      </c>
    </row>
    <row r="15" spans="2:36" x14ac:dyDescent="0.25">
      <c r="B15" s="1" t="s">
        <v>8</v>
      </c>
      <c r="C15" s="2">
        <v>100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</row>
    <row r="16" spans="2:36" x14ac:dyDescent="0.25">
      <c r="C16" s="3"/>
      <c r="E16" t="s">
        <v>13</v>
      </c>
      <c r="F16" s="3"/>
      <c r="G16" s="9">
        <f>G21*H16+G22</f>
        <v>157.09377165338856</v>
      </c>
      <c r="H16" s="9">
        <f>H21*I16+H22</f>
        <v>82.261511023245447</v>
      </c>
      <c r="I16" s="9">
        <f t="shared" ref="G16:K16" si="1">I21*J16+I22</f>
        <v>43.075905169842066</v>
      </c>
      <c r="J16" s="9">
        <f t="shared" si="1"/>
        <v>22.556524890036922</v>
      </c>
      <c r="K16" s="9">
        <f t="shared" si="1"/>
        <v>11.811638729247784</v>
      </c>
      <c r="L16" s="9">
        <f t="shared" ref="L16:AG16" si="2">L21*M16+L22</f>
        <v>6.1851293511326899</v>
      </c>
      <c r="M16" s="9">
        <f t="shared" si="2"/>
        <v>3.2388426918417639</v>
      </c>
      <c r="N16" s="9">
        <f t="shared" si="2"/>
        <v>1.6960545323489358</v>
      </c>
      <c r="O16" s="9">
        <f t="shared" si="2"/>
        <v>0.8882233368739797</v>
      </c>
      <c r="P16" s="9">
        <f t="shared" si="2"/>
        <v>0.46528892071108163</v>
      </c>
      <c r="Q16" s="9">
        <f t="shared" si="2"/>
        <v>0.24397970352298565</v>
      </c>
      <c r="R16" s="9">
        <f t="shared" si="2"/>
        <v>0.12839502452818344</v>
      </c>
      <c r="S16" s="9">
        <f t="shared" si="2"/>
        <v>6.8448189495594031E-2</v>
      </c>
      <c r="T16" s="9">
        <f t="shared" si="2"/>
        <v>3.8162236577762049E-2</v>
      </c>
      <c r="U16" s="9">
        <f t="shared" si="2"/>
        <v>2.4413252843626963E-2</v>
      </c>
      <c r="V16" s="9">
        <f t="shared" si="2"/>
        <v>2.1243345341730224E-2</v>
      </c>
      <c r="W16" s="9">
        <f t="shared" si="2"/>
        <v>2.7278887487916587E-2</v>
      </c>
      <c r="X16" s="9">
        <f t="shared" si="2"/>
        <v>4.5135280878866799E-2</v>
      </c>
      <c r="Y16" s="9">
        <f t="shared" si="2"/>
        <v>8.2550295983992647E-2</v>
      </c>
      <c r="Z16" s="9">
        <f t="shared" si="2"/>
        <v>0.1557371060155153</v>
      </c>
      <c r="AA16" s="9">
        <f t="shared" si="2"/>
        <v>0.29640999532042794</v>
      </c>
      <c r="AB16" s="9">
        <f t="shared" si="2"/>
        <v>0.56552721593085942</v>
      </c>
      <c r="AC16" s="9">
        <f t="shared" si="2"/>
        <v>1.0797062301113298</v>
      </c>
      <c r="AD16" s="9">
        <f t="shared" si="2"/>
        <v>2.0617579440067098</v>
      </c>
      <c r="AE16" s="9">
        <f>AE21*AF16+AE22</f>
        <v>3.937238100304997</v>
      </c>
      <c r="AF16" s="9">
        <f t="shared" si="2"/>
        <v>7.5188547667354504</v>
      </c>
      <c r="AG16" s="9">
        <f>AG21*AH16+AG22</f>
        <v>14.358641832084601</v>
      </c>
      <c r="AH16" s="9">
        <f>AH21*AI16+AH22</f>
        <v>27.420507024670414</v>
      </c>
      <c r="AI16" s="9">
        <f>AI21*AJ16+AI22</f>
        <v>52.364591927946741</v>
      </c>
      <c r="AJ16" s="3">
        <f>AJ14</f>
        <v>100</v>
      </c>
    </row>
    <row r="17" spans="2:36" x14ac:dyDescent="0.25">
      <c r="C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</row>
    <row r="18" spans="2:36" x14ac:dyDescent="0.25">
      <c r="B18" s="1" t="s">
        <v>9</v>
      </c>
      <c r="C18" s="12">
        <f>C11/C4^2</f>
        <v>4139999.9999999991</v>
      </c>
      <c r="E18" t="s">
        <v>14</v>
      </c>
      <c r="F18" s="3"/>
      <c r="G18" s="3">
        <f>-($C$11*(G14-F14))/$C$4</f>
        <v>4139999.9999999995</v>
      </c>
      <c r="H18" s="3">
        <f t="shared" ref="H18:AI18" si="3">-($C$11*(H14-G14))/$C$4</f>
        <v>0</v>
      </c>
      <c r="I18" s="3">
        <f t="shared" si="3"/>
        <v>0</v>
      </c>
      <c r="J18" s="3">
        <f t="shared" si="3"/>
        <v>0</v>
      </c>
      <c r="K18" s="3">
        <f t="shared" si="3"/>
        <v>0</v>
      </c>
      <c r="L18" s="3">
        <f t="shared" si="3"/>
        <v>0</v>
      </c>
      <c r="M18" s="3">
        <f t="shared" si="3"/>
        <v>0</v>
      </c>
      <c r="N18" s="3">
        <f t="shared" si="3"/>
        <v>0</v>
      </c>
      <c r="O18" s="3">
        <f t="shared" si="3"/>
        <v>0</v>
      </c>
      <c r="P18" s="3">
        <f t="shared" si="3"/>
        <v>0</v>
      </c>
      <c r="Q18" s="3">
        <f t="shared" si="3"/>
        <v>0</v>
      </c>
      <c r="R18" s="3">
        <f t="shared" si="3"/>
        <v>0</v>
      </c>
      <c r="S18" s="3">
        <f t="shared" si="3"/>
        <v>0</v>
      </c>
      <c r="T18" s="3">
        <f t="shared" si="3"/>
        <v>0</v>
      </c>
      <c r="U18" s="3">
        <f t="shared" si="3"/>
        <v>0</v>
      </c>
      <c r="V18" s="3">
        <f t="shared" si="3"/>
        <v>0</v>
      </c>
      <c r="W18" s="3">
        <f t="shared" si="3"/>
        <v>0</v>
      </c>
      <c r="X18" s="3">
        <f t="shared" si="3"/>
        <v>0</v>
      </c>
      <c r="Y18" s="3">
        <f t="shared" si="3"/>
        <v>0</v>
      </c>
      <c r="Z18" s="3">
        <f t="shared" si="3"/>
        <v>0</v>
      </c>
      <c r="AA18" s="3">
        <f t="shared" si="3"/>
        <v>0</v>
      </c>
      <c r="AB18" s="3">
        <f t="shared" si="3"/>
        <v>0</v>
      </c>
      <c r="AC18" s="3">
        <f t="shared" si="3"/>
        <v>0</v>
      </c>
      <c r="AD18" s="3">
        <f t="shared" si="3"/>
        <v>0</v>
      </c>
      <c r="AE18" s="3">
        <f t="shared" si="3"/>
        <v>0</v>
      </c>
      <c r="AF18" s="3">
        <f t="shared" si="3"/>
        <v>0</v>
      </c>
      <c r="AG18" s="3">
        <f t="shared" si="3"/>
        <v>0</v>
      </c>
      <c r="AH18" s="3">
        <f t="shared" si="3"/>
        <v>0</v>
      </c>
      <c r="AI18" s="3">
        <f t="shared" si="3"/>
        <v>0</v>
      </c>
      <c r="AJ18" s="3"/>
    </row>
    <row r="19" spans="2:36" x14ac:dyDescent="0.25">
      <c r="B19" s="1" t="s">
        <v>10</v>
      </c>
      <c r="C19" s="12">
        <f>(2*C11)/(C4^2)+(C10*C9)/(C6)</f>
        <v>10073999.999999998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</row>
    <row r="20" spans="2:36" x14ac:dyDescent="0.25">
      <c r="B20" s="1" t="s">
        <v>11</v>
      </c>
      <c r="C20" s="12">
        <f>C11/C4^2</f>
        <v>4139999.9999999991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</row>
    <row r="21" spans="2:36" x14ac:dyDescent="0.25">
      <c r="E21" s="6" t="s">
        <v>15</v>
      </c>
      <c r="F21" s="3">
        <v>0</v>
      </c>
      <c r="G21" s="8">
        <f>$C$18/($C$19-$C$20*F21)</f>
        <v>0.41095890410958902</v>
      </c>
      <c r="H21" s="8">
        <f t="shared" ref="H21:AI21" si="4">$C$18/($C$19-$C$20*G21)</f>
        <v>0.49446827726349057</v>
      </c>
      <c r="I21" s="8">
        <f t="shared" si="4"/>
        <v>0.51576565211146774</v>
      </c>
      <c r="J21" s="8">
        <f t="shared" si="4"/>
        <v>0.52149397895713612</v>
      </c>
      <c r="K21" s="8">
        <f t="shared" si="4"/>
        <v>0.52305649933975962</v>
      </c>
      <c r="L21" s="8">
        <f t="shared" si="4"/>
        <v>0.52348433598989241</v>
      </c>
      <c r="M21" s="8">
        <f t="shared" si="4"/>
        <v>0.52360160483419294</v>
      </c>
      <c r="N21" s="8">
        <f t="shared" si="4"/>
        <v>0.52363375707534621</v>
      </c>
      <c r="O21" s="8">
        <f t="shared" si="4"/>
        <v>0.52364257312109652</v>
      </c>
      <c r="P21" s="8">
        <f t="shared" si="4"/>
        <v>0.5236449905056163</v>
      </c>
      <c r="Q21" s="8">
        <f t="shared" si="4"/>
        <v>0.52364565336314417</v>
      </c>
      <c r="R21" s="8">
        <f t="shared" si="4"/>
        <v>0.52364583512190344</v>
      </c>
      <c r="S21" s="8">
        <f t="shared" si="4"/>
        <v>0.52364588496106157</v>
      </c>
      <c r="T21" s="8">
        <f t="shared" si="4"/>
        <v>0.52364589862720901</v>
      </c>
      <c r="U21" s="8">
        <f t="shared" si="4"/>
        <v>0.52364590237453534</v>
      </c>
      <c r="V21" s="8">
        <f t="shared" si="4"/>
        <v>0.52364590340207107</v>
      </c>
      <c r="W21" s="8">
        <f t="shared" si="4"/>
        <v>0.52364590368382657</v>
      </c>
      <c r="X21" s="8">
        <f t="shared" si="4"/>
        <v>0.52364590376108522</v>
      </c>
      <c r="Y21" s="8">
        <f t="shared" si="4"/>
        <v>0.52364590378227005</v>
      </c>
      <c r="Z21" s="8">
        <f t="shared" si="4"/>
        <v>0.52364590378807896</v>
      </c>
      <c r="AA21" s="8">
        <f t="shared" si="4"/>
        <v>0.5236459037896718</v>
      </c>
      <c r="AB21" s="8">
        <f t="shared" si="4"/>
        <v>0.52364590379010867</v>
      </c>
      <c r="AC21" s="8">
        <f t="shared" si="4"/>
        <v>0.52364590379022846</v>
      </c>
      <c r="AD21" s="8">
        <f t="shared" si="4"/>
        <v>0.52364590379026121</v>
      </c>
      <c r="AE21" s="8">
        <f t="shared" si="4"/>
        <v>0.52364590379027021</v>
      </c>
      <c r="AF21" s="8">
        <f t="shared" si="4"/>
        <v>0.52364590379027265</v>
      </c>
      <c r="AG21" s="8">
        <f t="shared" si="4"/>
        <v>0.52364590379027331</v>
      </c>
      <c r="AH21" s="8">
        <f t="shared" si="4"/>
        <v>0.52364590379027354</v>
      </c>
      <c r="AI21" s="8">
        <f>$C$18/($C$19-$C$20*AH21)</f>
        <v>0.52364590379027354</v>
      </c>
      <c r="AJ21" s="8"/>
    </row>
    <row r="22" spans="2:36" x14ac:dyDescent="0.25">
      <c r="E22" s="6" t="s">
        <v>16</v>
      </c>
      <c r="F22" s="3">
        <f>C14</f>
        <v>300</v>
      </c>
      <c r="G22" s="8">
        <f>(F22*$C$20-G23)/($C$19-$C$20*F21)</f>
        <v>123.28767123287672</v>
      </c>
      <c r="H22" s="8">
        <f t="shared" ref="H22:AI22" si="5">(G22*$C$20-H23)/($C$19-$C$20*G21)</f>
        <v>60.961842402348154</v>
      </c>
      <c r="I22" s="8">
        <f>(H22*$C$20-I23)/($C$19-$C$20*H21)</f>
        <v>31.442024400563621</v>
      </c>
      <c r="J22" s="8">
        <f t="shared" si="5"/>
        <v>16.396826411117285</v>
      </c>
      <c r="K22" s="8">
        <f>(J22*$C$20-K23)/($C$19-$C$20*J21)</f>
        <v>8.5764666228807211</v>
      </c>
      <c r="L22" s="8">
        <f t="shared" si="5"/>
        <v>4.4896459352181886</v>
      </c>
      <c r="M22" s="8">
        <f t="shared" si="5"/>
        <v>2.3507858168175546</v>
      </c>
      <c r="N22" s="8">
        <f t="shared" si="5"/>
        <v>1.2309508093396129</v>
      </c>
      <c r="O22" s="8">
        <f t="shared" si="5"/>
        <v>0.64457824918809103</v>
      </c>
      <c r="P22" s="8">
        <f t="shared" si="5"/>
        <v>0.33753017117622475</v>
      </c>
      <c r="Q22" s="8">
        <f t="shared" si="5"/>
        <v>0.17674620701534813</v>
      </c>
      <c r="R22" s="8">
        <f t="shared" si="5"/>
        <v>9.2552415177180797E-2</v>
      </c>
      <c r="S22" s="8">
        <f t="shared" si="5"/>
        <v>4.8464691350738429E-2</v>
      </c>
      <c r="T22" s="8">
        <f t="shared" si="5"/>
        <v>2.5378336854047744E-2</v>
      </c>
      <c r="U22" s="8">
        <f t="shared" si="5"/>
        <v>1.3289262102702756E-2</v>
      </c>
      <c r="V22" s="8">
        <f t="shared" si="5"/>
        <v>6.9588676593166912E-3</v>
      </c>
      <c r="W22" s="8">
        <f t="shared" si="5"/>
        <v>3.6439825440790436E-3</v>
      </c>
      <c r="X22" s="8">
        <f t="shared" si="5"/>
        <v>1.9081565325838894E-3</v>
      </c>
      <c r="Y22" s="8">
        <f t="shared" si="5"/>
        <v>9.9919835206293325E-4</v>
      </c>
      <c r="Z22" s="8">
        <f t="shared" si="5"/>
        <v>5.2322612412955387E-4</v>
      </c>
      <c r="AA22" s="8">
        <f t="shared" si="5"/>
        <v>2.7398521665618727E-4</v>
      </c>
      <c r="AB22" s="8">
        <f t="shared" si="5"/>
        <v>1.434712364010579E-4</v>
      </c>
      <c r="AC22" s="8">
        <f t="shared" si="5"/>
        <v>7.5128125253133484E-5</v>
      </c>
      <c r="AD22" s="8">
        <f t="shared" si="5"/>
        <v>3.9340535048245028E-5</v>
      </c>
      <c r="AE22" s="8">
        <f t="shared" si="5"/>
        <v>2.0600510030931069E-5</v>
      </c>
      <c r="AF22" s="8">
        <f t="shared" si="5"/>
        <v>1.0787372693687478E-5</v>
      </c>
      <c r="AG22" s="8">
        <f t="shared" si="5"/>
        <v>5.6487635237084939E-6</v>
      </c>
      <c r="AH22" s="8">
        <f t="shared" si="5"/>
        <v>2.9579518806698644E-6</v>
      </c>
      <c r="AI22" s="8">
        <f t="shared" si="5"/>
        <v>1.5489193859215107E-6</v>
      </c>
      <c r="AJ22" s="11"/>
    </row>
    <row r="23" spans="2:36" x14ac:dyDescent="0.25">
      <c r="E23" s="6" t="s">
        <v>17</v>
      </c>
      <c r="F23" s="10">
        <f>-($C$10*$C$9/$C$6)*F14</f>
        <v>-538200000</v>
      </c>
      <c r="G23" s="10">
        <f>-($C$10*$C$9/$C$6)*G14</f>
        <v>0</v>
      </c>
      <c r="H23" s="10">
        <f t="shared" ref="G23:AI23" si="6">-($C$10*$C$9/$C$6)*H14</f>
        <v>0</v>
      </c>
      <c r="I23" s="10">
        <f t="shared" si="6"/>
        <v>0</v>
      </c>
      <c r="J23" s="10">
        <f>-($C$10*$C$9/$C$6)*J14</f>
        <v>0</v>
      </c>
      <c r="K23" s="10">
        <f>-($C$10*$C$9/$C$6)*K14</f>
        <v>0</v>
      </c>
      <c r="L23" s="10">
        <f>-($C$10*$C$9/$C$6)*L14</f>
        <v>0</v>
      </c>
      <c r="M23" s="10">
        <f>-($C$10*$C$9/$C$6)*M14</f>
        <v>0</v>
      </c>
      <c r="N23" s="10">
        <f>-($C$10*$C$9/$C$6)*N14</f>
        <v>0</v>
      </c>
      <c r="O23" s="10">
        <f>-($C$10*$C$9/$C$6)*O14</f>
        <v>0</v>
      </c>
      <c r="P23" s="10">
        <f t="shared" si="6"/>
        <v>0</v>
      </c>
      <c r="Q23" s="10">
        <f t="shared" si="6"/>
        <v>0</v>
      </c>
      <c r="R23" s="10">
        <f t="shared" si="6"/>
        <v>0</v>
      </c>
      <c r="S23" s="10">
        <f t="shared" si="6"/>
        <v>0</v>
      </c>
      <c r="T23" s="10">
        <f t="shared" si="6"/>
        <v>0</v>
      </c>
      <c r="U23" s="10">
        <f t="shared" si="6"/>
        <v>0</v>
      </c>
      <c r="V23" s="10">
        <f t="shared" si="6"/>
        <v>0</v>
      </c>
      <c r="W23" s="10">
        <f t="shared" si="6"/>
        <v>0</v>
      </c>
      <c r="X23" s="10">
        <f t="shared" si="6"/>
        <v>0</v>
      </c>
      <c r="Y23" s="10">
        <f t="shared" si="6"/>
        <v>0</v>
      </c>
      <c r="Z23" s="10">
        <f t="shared" si="6"/>
        <v>0</v>
      </c>
      <c r="AA23" s="10">
        <f t="shared" si="6"/>
        <v>0</v>
      </c>
      <c r="AB23" s="10">
        <f t="shared" si="6"/>
        <v>0</v>
      </c>
      <c r="AC23" s="10">
        <f t="shared" si="6"/>
        <v>0</v>
      </c>
      <c r="AD23" s="10">
        <f t="shared" si="6"/>
        <v>0</v>
      </c>
      <c r="AE23" s="10">
        <f t="shared" si="6"/>
        <v>0</v>
      </c>
      <c r="AF23" s="10">
        <f t="shared" si="6"/>
        <v>0</v>
      </c>
      <c r="AG23" s="10">
        <f t="shared" si="6"/>
        <v>0</v>
      </c>
      <c r="AH23" s="10">
        <f t="shared" si="6"/>
        <v>0</v>
      </c>
      <c r="AI23" s="10">
        <f>-($C$10*$C$9/$C$6)*AI14</f>
        <v>0</v>
      </c>
      <c r="AJ23" s="3"/>
    </row>
    <row r="24" spans="2:36" x14ac:dyDescent="0.25"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</row>
  </sheetData>
  <conditionalFormatting sqref="F14:AJ14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8"/>
  <sheetViews>
    <sheetView topLeftCell="E1" zoomScale="70" zoomScaleNormal="70" workbookViewId="0">
      <selection activeCell="G14" sqref="G14:AI14"/>
    </sheetView>
  </sheetViews>
  <sheetFormatPr defaultRowHeight="15" x14ac:dyDescent="0.25"/>
  <cols>
    <col min="2" max="2" width="7" bestFit="1" customWidth="1"/>
    <col min="3" max="3" width="6.5703125" bestFit="1" customWidth="1"/>
    <col min="4" max="4" width="12" bestFit="1" customWidth="1"/>
    <col min="5" max="5" width="6.140625" bestFit="1" customWidth="1"/>
    <col min="6" max="6" width="4.5703125" bestFit="1" customWidth="1"/>
    <col min="7" max="28" width="12" bestFit="1" customWidth="1"/>
    <col min="29" max="29" width="11.7109375" bestFit="1" customWidth="1"/>
    <col min="30" max="35" width="12.7109375" bestFit="1" customWidth="1"/>
    <col min="36" max="36" width="4.5703125" bestFit="1" customWidth="1"/>
  </cols>
  <sheetData>
    <row r="3" spans="2:36" x14ac:dyDescent="0.25">
      <c r="B3" s="1" t="s">
        <v>0</v>
      </c>
      <c r="C3" s="2">
        <v>0.1</v>
      </c>
    </row>
    <row r="4" spans="2:36" x14ac:dyDescent="0.25">
      <c r="B4" s="1" t="s">
        <v>1</v>
      </c>
      <c r="C4" s="4">
        <f>C3/30</f>
        <v>3.3333333333333335E-3</v>
      </c>
    </row>
    <row r="5" spans="2:36" x14ac:dyDescent="0.25">
      <c r="B5" s="1" t="s">
        <v>2</v>
      </c>
      <c r="C5" s="5">
        <v>60</v>
      </c>
      <c r="D5">
        <v>60.233333333333341</v>
      </c>
    </row>
    <row r="6" spans="2:36" x14ac:dyDescent="0.25">
      <c r="B6" s="1" t="s">
        <v>3</v>
      </c>
      <c r="C6" s="5">
        <f>(C10*C9*(C4^2))/(2*C11)</f>
        <v>0.4333333333333334</v>
      </c>
    </row>
    <row r="7" spans="2:36" x14ac:dyDescent="0.25">
      <c r="C7" s="3"/>
    </row>
    <row r="8" spans="2:36" x14ac:dyDescent="0.25">
      <c r="C8" s="3"/>
    </row>
    <row r="9" spans="2:36" x14ac:dyDescent="0.25">
      <c r="B9" s="1" t="s">
        <v>4</v>
      </c>
      <c r="C9" s="2">
        <v>460</v>
      </c>
    </row>
    <row r="10" spans="2:36" x14ac:dyDescent="0.25">
      <c r="B10" s="1" t="s">
        <v>5</v>
      </c>
      <c r="C10" s="2">
        <v>7800</v>
      </c>
    </row>
    <row r="11" spans="2:36" x14ac:dyDescent="0.25">
      <c r="B11" s="1" t="s">
        <v>6</v>
      </c>
      <c r="C11" s="2">
        <v>46</v>
      </c>
    </row>
    <row r="12" spans="2:36" x14ac:dyDescent="0.25">
      <c r="C12" s="3"/>
      <c r="F12" s="3">
        <v>1</v>
      </c>
      <c r="G12" s="3">
        <v>2</v>
      </c>
      <c r="H12" s="3">
        <v>3</v>
      </c>
      <c r="I12" s="3">
        <v>4</v>
      </c>
      <c r="J12" s="3">
        <v>5</v>
      </c>
      <c r="K12" s="3">
        <v>6</v>
      </c>
      <c r="L12" s="3">
        <v>7</v>
      </c>
      <c r="M12" s="3">
        <v>8</v>
      </c>
      <c r="N12" s="3">
        <v>9</v>
      </c>
      <c r="O12" s="3">
        <v>10</v>
      </c>
      <c r="P12" s="3">
        <v>11</v>
      </c>
      <c r="Q12" s="3">
        <v>12</v>
      </c>
      <c r="R12" s="3">
        <v>13</v>
      </c>
      <c r="S12" s="3">
        <v>14</v>
      </c>
      <c r="T12" s="3">
        <v>15</v>
      </c>
      <c r="U12" s="3">
        <v>16</v>
      </c>
      <c r="V12" s="3">
        <v>17</v>
      </c>
      <c r="W12" s="3">
        <v>18</v>
      </c>
      <c r="X12" s="3">
        <v>19</v>
      </c>
      <c r="Y12" s="3">
        <v>20</v>
      </c>
      <c r="Z12" s="3">
        <v>21</v>
      </c>
      <c r="AA12" s="3">
        <v>22</v>
      </c>
      <c r="AB12" s="3">
        <v>23</v>
      </c>
      <c r="AC12" s="3">
        <v>24</v>
      </c>
      <c r="AD12" s="3">
        <v>25</v>
      </c>
      <c r="AE12" s="3">
        <v>26</v>
      </c>
      <c r="AF12" s="3">
        <v>27</v>
      </c>
      <c r="AG12" s="3">
        <v>28</v>
      </c>
      <c r="AH12" s="3">
        <v>29</v>
      </c>
      <c r="AI12" s="3">
        <v>30</v>
      </c>
      <c r="AJ12" s="3">
        <v>31</v>
      </c>
    </row>
    <row r="13" spans="2:36" x14ac:dyDescent="0.25">
      <c r="C13" s="3"/>
      <c r="E13" t="s">
        <v>0</v>
      </c>
      <c r="F13" s="7">
        <v>0</v>
      </c>
      <c r="G13" s="7">
        <f>$C$4+F13</f>
        <v>3.3333333333333335E-3</v>
      </c>
      <c r="H13" s="7">
        <f t="shared" ref="H13:AJ13" si="0">$C$4+G13</f>
        <v>6.6666666666666671E-3</v>
      </c>
      <c r="I13" s="7">
        <f t="shared" si="0"/>
        <v>0.01</v>
      </c>
      <c r="J13" s="7">
        <f t="shared" si="0"/>
        <v>1.3333333333333334E-2</v>
      </c>
      <c r="K13" s="7">
        <f t="shared" si="0"/>
        <v>1.6666666666666666E-2</v>
      </c>
      <c r="L13" s="7">
        <f t="shared" si="0"/>
        <v>0.02</v>
      </c>
      <c r="M13" s="7">
        <f t="shared" si="0"/>
        <v>2.3333333333333334E-2</v>
      </c>
      <c r="N13" s="7">
        <f t="shared" si="0"/>
        <v>2.6666666666666668E-2</v>
      </c>
      <c r="O13" s="7">
        <f t="shared" si="0"/>
        <v>3.0000000000000002E-2</v>
      </c>
      <c r="P13" s="7">
        <f t="shared" si="0"/>
        <v>3.3333333333333333E-2</v>
      </c>
      <c r="Q13" s="7">
        <f t="shared" si="0"/>
        <v>3.6666666666666667E-2</v>
      </c>
      <c r="R13" s="7">
        <f t="shared" si="0"/>
        <v>0.04</v>
      </c>
      <c r="S13" s="7">
        <f t="shared" si="0"/>
        <v>4.3333333333333335E-2</v>
      </c>
      <c r="T13" s="7">
        <f t="shared" si="0"/>
        <v>4.6666666666666669E-2</v>
      </c>
      <c r="U13" s="7">
        <f t="shared" si="0"/>
        <v>0.05</v>
      </c>
      <c r="V13" s="7">
        <f t="shared" si="0"/>
        <v>5.3333333333333337E-2</v>
      </c>
      <c r="W13" s="7">
        <f t="shared" si="0"/>
        <v>5.6666666666666671E-2</v>
      </c>
      <c r="X13" s="7">
        <f t="shared" si="0"/>
        <v>6.0000000000000005E-2</v>
      </c>
      <c r="Y13" s="7">
        <f t="shared" si="0"/>
        <v>6.3333333333333339E-2</v>
      </c>
      <c r="Z13" s="7">
        <f t="shared" si="0"/>
        <v>6.6666666666666666E-2</v>
      </c>
      <c r="AA13" s="7">
        <f t="shared" si="0"/>
        <v>6.9999999999999993E-2</v>
      </c>
      <c r="AB13" s="7">
        <f t="shared" si="0"/>
        <v>7.333333333333332E-2</v>
      </c>
      <c r="AC13" s="7">
        <f t="shared" si="0"/>
        <v>7.6666666666666647E-2</v>
      </c>
      <c r="AD13" s="7">
        <f t="shared" si="0"/>
        <v>7.9999999999999974E-2</v>
      </c>
      <c r="AE13" s="7">
        <f t="shared" si="0"/>
        <v>8.3333333333333301E-2</v>
      </c>
      <c r="AF13" s="7">
        <f t="shared" si="0"/>
        <v>8.6666666666666628E-2</v>
      </c>
      <c r="AG13" s="7">
        <f t="shared" si="0"/>
        <v>8.9999999999999955E-2</v>
      </c>
      <c r="AH13" s="7">
        <f t="shared" si="0"/>
        <v>9.3333333333333282E-2</v>
      </c>
      <c r="AI13" s="7">
        <f t="shared" si="0"/>
        <v>9.6666666666666609E-2</v>
      </c>
      <c r="AJ13" s="7">
        <f t="shared" si="0"/>
        <v>9.9999999999999936E-2</v>
      </c>
    </row>
    <row r="14" spans="2:36" x14ac:dyDescent="0.25">
      <c r="B14" s="1" t="s">
        <v>7</v>
      </c>
      <c r="C14" s="2">
        <v>300</v>
      </c>
      <c r="E14" t="s">
        <v>12</v>
      </c>
      <c r="F14" s="3">
        <v>300</v>
      </c>
      <c r="G14" s="3">
        <v>280.34602914679897</v>
      </c>
      <c r="H14" s="3">
        <v>260.69205829359794</v>
      </c>
      <c r="I14" s="3">
        <v>241.69187227593491</v>
      </c>
      <c r="J14" s="3">
        <v>222.69168625827183</v>
      </c>
      <c r="K14" s="3">
        <v>204.95390631913148</v>
      </c>
      <c r="L14" s="3">
        <v>187.21612637999107</v>
      </c>
      <c r="M14" s="3">
        <v>171.26453784334268</v>
      </c>
      <c r="N14" s="3">
        <v>155.31294930669429</v>
      </c>
      <c r="O14" s="3">
        <v>141.55671337374596</v>
      </c>
      <c r="P14" s="3">
        <v>127.80047744079765</v>
      </c>
      <c r="Q14" s="3">
        <v>116.51671674932982</v>
      </c>
      <c r="R14" s="3">
        <v>105.23295605786197</v>
      </c>
      <c r="S14" s="3">
        <v>96.561989352755049</v>
      </c>
      <c r="T14" s="3">
        <v>87.891022647648128</v>
      </c>
      <c r="U14" s="3">
        <v>81.842538774051832</v>
      </c>
      <c r="V14" s="3">
        <v>75.794054900455549</v>
      </c>
      <c r="W14" s="3">
        <v>72.26118711460424</v>
      </c>
      <c r="X14" s="3">
        <v>68.728319328752917</v>
      </c>
      <c r="Y14" s="3">
        <v>67.506108522455037</v>
      </c>
      <c r="Z14" s="3">
        <v>66.283897716157142</v>
      </c>
      <c r="AA14" s="3">
        <v>67.088962026000345</v>
      </c>
      <c r="AB14" s="3">
        <v>67.894026335843549</v>
      </c>
      <c r="AC14" s="3">
        <v>70.383127200086093</v>
      </c>
      <c r="AD14" s="3">
        <v>72.872228064328638</v>
      </c>
      <c r="AE14" s="3">
        <v>76.658491877071754</v>
      </c>
      <c r="AF14" s="3">
        <v>80.444755689814855</v>
      </c>
      <c r="AG14" s="3">
        <v>85.111263870845988</v>
      </c>
      <c r="AH14" s="3">
        <v>89.777772051877108</v>
      </c>
      <c r="AI14" s="3">
        <v>94.888886025938561</v>
      </c>
      <c r="AJ14" s="3">
        <v>100</v>
      </c>
    </row>
    <row r="15" spans="2:36" x14ac:dyDescent="0.25">
      <c r="B15" s="1" t="s">
        <v>8</v>
      </c>
      <c r="C15" s="2">
        <v>100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</row>
    <row r="16" spans="2:36" x14ac:dyDescent="0.25">
      <c r="E16" t="s">
        <v>13</v>
      </c>
      <c r="F16" s="3"/>
      <c r="G16" s="9">
        <f>G14+(($C$11*$C$6)/($C$9*$C$10))*(H14-2*G14+F14)/$C$4^2</f>
        <v>280.34602914679897</v>
      </c>
      <c r="H16" s="9">
        <f t="shared" ref="H16:AI16" si="1">H14+(($C$11*$C$6)/($C$9*$C$10))*(I14-2*H14+G14)/$C$4^2</f>
        <v>261.01895071136693</v>
      </c>
      <c r="I16" s="9">
        <f t="shared" si="1"/>
        <v>241.69187227593488</v>
      </c>
      <c r="J16" s="9">
        <f t="shared" si="1"/>
        <v>223.32288929753321</v>
      </c>
      <c r="K16" s="9">
        <f t="shared" si="1"/>
        <v>204.95390631913145</v>
      </c>
      <c r="L16" s="9">
        <f t="shared" si="1"/>
        <v>188.10922208123708</v>
      </c>
      <c r="M16" s="9">
        <f t="shared" si="1"/>
        <v>171.26453784334268</v>
      </c>
      <c r="N16" s="9">
        <f t="shared" si="1"/>
        <v>156.41062560854431</v>
      </c>
      <c r="O16" s="9">
        <f t="shared" si="1"/>
        <v>141.55671337374596</v>
      </c>
      <c r="P16" s="9">
        <f t="shared" si="1"/>
        <v>129.0367150615379</v>
      </c>
      <c r="Q16" s="9">
        <f t="shared" si="1"/>
        <v>116.51671674932982</v>
      </c>
      <c r="R16" s="9">
        <f t="shared" si="1"/>
        <v>106.53935305104244</v>
      </c>
      <c r="S16" s="9">
        <f t="shared" si="1"/>
        <v>96.561989352755049</v>
      </c>
      <c r="T16" s="9">
        <f t="shared" si="1"/>
        <v>89.202264063403447</v>
      </c>
      <c r="U16" s="9">
        <f t="shared" si="1"/>
        <v>81.842538774051832</v>
      </c>
      <c r="V16" s="9">
        <f t="shared" si="1"/>
        <v>77.051862944328036</v>
      </c>
      <c r="W16" s="9">
        <f t="shared" si="1"/>
        <v>72.26118711460424</v>
      </c>
      <c r="X16" s="9">
        <f t="shared" si="1"/>
        <v>69.883647818529639</v>
      </c>
      <c r="Y16" s="9">
        <f t="shared" si="1"/>
        <v>67.506108522455037</v>
      </c>
      <c r="Z16" s="9">
        <f t="shared" si="1"/>
        <v>67.297535274227698</v>
      </c>
      <c r="AA16" s="9">
        <f t="shared" si="1"/>
        <v>67.088962026000345</v>
      </c>
      <c r="AB16" s="9">
        <f t="shared" si="1"/>
        <v>68.736044613043219</v>
      </c>
      <c r="AC16" s="9">
        <f t="shared" si="1"/>
        <v>70.383127200086093</v>
      </c>
      <c r="AD16" s="9">
        <f t="shared" si="1"/>
        <v>73.520809538578931</v>
      </c>
      <c r="AE16" s="9">
        <f t="shared" si="1"/>
        <v>76.658491877071754</v>
      </c>
      <c r="AF16" s="9">
        <f t="shared" si="1"/>
        <v>80.884877873958871</v>
      </c>
      <c r="AG16" s="9">
        <f t="shared" si="1"/>
        <v>85.111263870845988</v>
      </c>
      <c r="AH16" s="9">
        <f t="shared" si="1"/>
        <v>90.000074948392268</v>
      </c>
      <c r="AI16" s="9">
        <f t="shared" si="1"/>
        <v>94.888886025938547</v>
      </c>
      <c r="AJ16" s="3"/>
    </row>
    <row r="17" spans="5:36" x14ac:dyDescent="0.25"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</row>
    <row r="18" spans="5:36" x14ac:dyDescent="0.25">
      <c r="E18" t="s">
        <v>14</v>
      </c>
      <c r="F18" s="3"/>
      <c r="G18" s="3">
        <f>-($C$11*(G14-F14))/$C$4</f>
        <v>271224.79777417419</v>
      </c>
      <c r="H18" s="3">
        <f t="shared" ref="H18:AI18" si="2">-($C$11*(H14-G14))/$C$4</f>
        <v>271224.79777417419</v>
      </c>
      <c r="I18" s="3">
        <f t="shared" si="2"/>
        <v>262202.56704374973</v>
      </c>
      <c r="J18" s="3">
        <f t="shared" si="2"/>
        <v>262202.56704375055</v>
      </c>
      <c r="K18" s="3">
        <f t="shared" si="2"/>
        <v>244781.36316013685</v>
      </c>
      <c r="L18" s="3">
        <f t="shared" si="2"/>
        <v>244781.36316013764</v>
      </c>
      <c r="M18" s="3">
        <f t="shared" si="2"/>
        <v>220131.92180574773</v>
      </c>
      <c r="N18" s="3">
        <f t="shared" si="2"/>
        <v>220131.92180574773</v>
      </c>
      <c r="O18" s="3">
        <f t="shared" si="2"/>
        <v>189836.05587468689</v>
      </c>
      <c r="P18" s="3">
        <f t="shared" si="2"/>
        <v>189836.05587468675</v>
      </c>
      <c r="Q18" s="3">
        <f t="shared" si="2"/>
        <v>155715.89754225611</v>
      </c>
      <c r="R18" s="3">
        <f t="shared" si="2"/>
        <v>155715.89754225631</v>
      </c>
      <c r="S18" s="3">
        <f t="shared" si="2"/>
        <v>119659.34053047549</v>
      </c>
      <c r="T18" s="3">
        <f t="shared" si="2"/>
        <v>119659.34053047549</v>
      </c>
      <c r="U18" s="3">
        <f t="shared" si="2"/>
        <v>83469.077455628896</v>
      </c>
      <c r="V18" s="3">
        <f t="shared" si="2"/>
        <v>83469.077455628678</v>
      </c>
      <c r="W18" s="3">
        <f t="shared" si="2"/>
        <v>48753.575444748058</v>
      </c>
      <c r="X18" s="3">
        <f t="shared" si="2"/>
        <v>48753.575444748254</v>
      </c>
      <c r="Y18" s="3">
        <f t="shared" si="2"/>
        <v>16866.509126910751</v>
      </c>
      <c r="Z18" s="3">
        <f t="shared" si="2"/>
        <v>16866.509126910947</v>
      </c>
      <c r="AA18" s="3">
        <f t="shared" si="2"/>
        <v>-11109.887475836205</v>
      </c>
      <c r="AB18" s="3">
        <f t="shared" si="2"/>
        <v>-11109.887475836205</v>
      </c>
      <c r="AC18" s="3">
        <f t="shared" si="2"/>
        <v>-34349.591926547117</v>
      </c>
      <c r="AD18" s="3">
        <f t="shared" si="2"/>
        <v>-34349.591926547117</v>
      </c>
      <c r="AE18" s="3">
        <f t="shared" si="2"/>
        <v>-52250.44061585499</v>
      </c>
      <c r="AF18" s="3">
        <f t="shared" si="2"/>
        <v>-52250.440615854794</v>
      </c>
      <c r="AG18" s="3">
        <f t="shared" si="2"/>
        <v>-64397.81289822964</v>
      </c>
      <c r="AH18" s="3">
        <f t="shared" si="2"/>
        <v>-64397.812898229444</v>
      </c>
      <c r="AI18" s="3">
        <f t="shared" si="2"/>
        <v>-70533.372842048047</v>
      </c>
      <c r="AJ18" s="3"/>
    </row>
  </sheetData>
  <conditionalFormatting sqref="F14:AJ14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</vt:lpstr>
      <vt:lpstr>Явная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</dc:creator>
  <cp:lastModifiedBy>Илья</cp:lastModifiedBy>
  <dcterms:created xsi:type="dcterms:W3CDTF">2021-10-12T17:02:07Z</dcterms:created>
  <dcterms:modified xsi:type="dcterms:W3CDTF">2021-10-20T20:01:56Z</dcterms:modified>
</cp:coreProperties>
</file>