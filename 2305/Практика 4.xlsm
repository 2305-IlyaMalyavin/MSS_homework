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3 курс 5 семестр\Механика сплошной среды\Практика\папка гитхаб\4 dz\"/>
    </mc:Choice>
  </mc:AlternateContent>
  <bookViews>
    <workbookView xWindow="0" yWindow="0" windowWidth="21570" windowHeight="8145" activeTab="1"/>
  </bookViews>
  <sheets>
    <sheet name="Неявная 1D" sheetId="1" r:id="rId1"/>
    <sheet name="Неявная 2D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2" l="1"/>
  <c r="AJ65" i="2"/>
  <c r="AJ37" i="2"/>
  <c r="AJ38" i="2"/>
  <c r="AJ39" i="2"/>
  <c r="AJ40" i="2"/>
  <c r="AJ41" i="2"/>
  <c r="AJ42" i="2"/>
  <c r="AJ43" i="2"/>
  <c r="AJ44" i="2"/>
  <c r="BR76" i="2" s="1"/>
  <c r="AJ45" i="2"/>
  <c r="AJ46" i="2"/>
  <c r="AJ47" i="2"/>
  <c r="AJ48" i="2"/>
  <c r="AJ49" i="2"/>
  <c r="AJ50" i="2"/>
  <c r="AJ51" i="2"/>
  <c r="AJ52" i="2"/>
  <c r="BR84" i="2" s="1"/>
  <c r="AJ53" i="2"/>
  <c r="AJ54" i="2"/>
  <c r="AJ55" i="2"/>
  <c r="AJ56" i="2"/>
  <c r="AJ57" i="2"/>
  <c r="AJ58" i="2"/>
  <c r="AJ59" i="2"/>
  <c r="AJ60" i="2"/>
  <c r="BR92" i="2" s="1"/>
  <c r="AJ61" i="2"/>
  <c r="AJ62" i="2"/>
  <c r="AJ63" i="2"/>
  <c r="AJ64" i="2"/>
  <c r="AJ66" i="2"/>
  <c r="AJ69" i="2"/>
  <c r="DC95" i="2"/>
  <c r="DC94" i="2" s="1"/>
  <c r="DC93" i="2" s="1"/>
  <c r="DC92" i="2" s="1"/>
  <c r="DC91" i="2" s="1"/>
  <c r="DC90" i="2" s="1"/>
  <c r="DC89" i="2" s="1"/>
  <c r="DC88" i="2" s="1"/>
  <c r="DC87" i="2" s="1"/>
  <c r="DC86" i="2" s="1"/>
  <c r="DC85" i="2" s="1"/>
  <c r="DC84" i="2" s="1"/>
  <c r="DC83" i="2" s="1"/>
  <c r="DC82" i="2" s="1"/>
  <c r="DC81" i="2" s="1"/>
  <c r="DC80" i="2" s="1"/>
  <c r="DC79" i="2" s="1"/>
  <c r="DC78" i="2" s="1"/>
  <c r="DC77" i="2" s="1"/>
  <c r="DC76" i="2" s="1"/>
  <c r="DC75" i="2" s="1"/>
  <c r="DC74" i="2" s="1"/>
  <c r="DC73" i="2" s="1"/>
  <c r="DC72" i="2" s="1"/>
  <c r="DC71" i="2" s="1"/>
  <c r="DC70" i="2" s="1"/>
  <c r="DC69" i="2" s="1"/>
  <c r="DC96" i="2"/>
  <c r="DC97" i="2"/>
  <c r="BV95" i="2"/>
  <c r="BV94" i="2" s="1"/>
  <c r="BV93" i="2" s="1"/>
  <c r="BV92" i="2" s="1"/>
  <c r="BV91" i="2" s="1"/>
  <c r="BV90" i="2" s="1"/>
  <c r="BV89" i="2" s="1"/>
  <c r="BV88" i="2" s="1"/>
  <c r="BV87" i="2" s="1"/>
  <c r="BV86" i="2" s="1"/>
  <c r="BV85" i="2" s="1"/>
  <c r="BV84" i="2" s="1"/>
  <c r="BV83" i="2" s="1"/>
  <c r="BV82" i="2" s="1"/>
  <c r="BV81" i="2" s="1"/>
  <c r="BV80" i="2" s="1"/>
  <c r="BV79" i="2" s="1"/>
  <c r="BV78" i="2" s="1"/>
  <c r="BV77" i="2" s="1"/>
  <c r="BV76" i="2" s="1"/>
  <c r="BV75" i="2" s="1"/>
  <c r="BV74" i="2" s="1"/>
  <c r="BV73" i="2" s="1"/>
  <c r="BV72" i="2" s="1"/>
  <c r="BV71" i="2" s="1"/>
  <c r="BV70" i="2" s="1"/>
  <c r="BV69" i="2" s="1"/>
  <c r="CC95" i="2"/>
  <c r="CC94" i="2" s="1"/>
  <c r="CC93" i="2" s="1"/>
  <c r="CC92" i="2" s="1"/>
  <c r="CC91" i="2" s="1"/>
  <c r="CC90" i="2" s="1"/>
  <c r="CC89" i="2" s="1"/>
  <c r="CC88" i="2" s="1"/>
  <c r="CC87" i="2" s="1"/>
  <c r="CC86" i="2" s="1"/>
  <c r="CC85" i="2" s="1"/>
  <c r="CC84" i="2" s="1"/>
  <c r="CC83" i="2" s="1"/>
  <c r="CC82" i="2" s="1"/>
  <c r="CC81" i="2" s="1"/>
  <c r="CC80" i="2" s="1"/>
  <c r="CC79" i="2" s="1"/>
  <c r="CC78" i="2" s="1"/>
  <c r="CC77" i="2" s="1"/>
  <c r="CC76" i="2" s="1"/>
  <c r="CC75" i="2" s="1"/>
  <c r="CC74" i="2" s="1"/>
  <c r="CC73" i="2" s="1"/>
  <c r="CC72" i="2" s="1"/>
  <c r="CC71" i="2" s="1"/>
  <c r="CC70" i="2" s="1"/>
  <c r="CC69" i="2" s="1"/>
  <c r="CD95" i="2"/>
  <c r="CD94" i="2" s="1"/>
  <c r="CD93" i="2" s="1"/>
  <c r="CD92" i="2" s="1"/>
  <c r="CD91" i="2" s="1"/>
  <c r="CD90" i="2" s="1"/>
  <c r="CD89" i="2" s="1"/>
  <c r="CD88" i="2" s="1"/>
  <c r="CD87" i="2" s="1"/>
  <c r="CD86" i="2" s="1"/>
  <c r="CD85" i="2" s="1"/>
  <c r="CD84" i="2" s="1"/>
  <c r="CD83" i="2" s="1"/>
  <c r="CD82" i="2" s="1"/>
  <c r="CD81" i="2" s="1"/>
  <c r="CD80" i="2" s="1"/>
  <c r="CD79" i="2" s="1"/>
  <c r="CD78" i="2" s="1"/>
  <c r="CD77" i="2" s="1"/>
  <c r="CD76" i="2" s="1"/>
  <c r="CD75" i="2" s="1"/>
  <c r="CD74" i="2" s="1"/>
  <c r="CD73" i="2" s="1"/>
  <c r="CD72" i="2" s="1"/>
  <c r="CD71" i="2" s="1"/>
  <c r="CD70" i="2" s="1"/>
  <c r="CD69" i="2" s="1"/>
  <c r="CK95" i="2"/>
  <c r="CK94" i="2" s="1"/>
  <c r="CK93" i="2" s="1"/>
  <c r="CK92" i="2" s="1"/>
  <c r="CK91" i="2" s="1"/>
  <c r="CK90" i="2" s="1"/>
  <c r="CK89" i="2" s="1"/>
  <c r="CK88" i="2" s="1"/>
  <c r="CK87" i="2" s="1"/>
  <c r="CK86" i="2" s="1"/>
  <c r="CK85" i="2" s="1"/>
  <c r="CK84" i="2" s="1"/>
  <c r="CK83" i="2" s="1"/>
  <c r="CK82" i="2" s="1"/>
  <c r="CK81" i="2" s="1"/>
  <c r="CK80" i="2" s="1"/>
  <c r="CK79" i="2" s="1"/>
  <c r="CK78" i="2" s="1"/>
  <c r="CK77" i="2" s="1"/>
  <c r="CK76" i="2" s="1"/>
  <c r="CK75" i="2" s="1"/>
  <c r="CK74" i="2" s="1"/>
  <c r="CK73" i="2" s="1"/>
  <c r="CK72" i="2" s="1"/>
  <c r="CK71" i="2" s="1"/>
  <c r="CK70" i="2" s="1"/>
  <c r="CK69" i="2" s="1"/>
  <c r="CL95" i="2"/>
  <c r="CL94" i="2" s="1"/>
  <c r="CL93" i="2" s="1"/>
  <c r="CL92" i="2" s="1"/>
  <c r="CL91" i="2" s="1"/>
  <c r="CL90" i="2" s="1"/>
  <c r="CL89" i="2" s="1"/>
  <c r="CL88" i="2" s="1"/>
  <c r="CL87" i="2" s="1"/>
  <c r="CL86" i="2" s="1"/>
  <c r="CL85" i="2" s="1"/>
  <c r="CL84" i="2" s="1"/>
  <c r="CL83" i="2" s="1"/>
  <c r="CL82" i="2" s="1"/>
  <c r="CL81" i="2" s="1"/>
  <c r="CL80" i="2" s="1"/>
  <c r="CL79" i="2" s="1"/>
  <c r="CL78" i="2" s="1"/>
  <c r="CL77" i="2" s="1"/>
  <c r="CL76" i="2" s="1"/>
  <c r="CL75" i="2" s="1"/>
  <c r="CL74" i="2" s="1"/>
  <c r="CL73" i="2" s="1"/>
  <c r="CL72" i="2" s="1"/>
  <c r="CL71" i="2" s="1"/>
  <c r="CL70" i="2" s="1"/>
  <c r="CL69" i="2" s="1"/>
  <c r="CS95" i="2"/>
  <c r="CS94" i="2" s="1"/>
  <c r="CS93" i="2" s="1"/>
  <c r="CS92" i="2" s="1"/>
  <c r="CS91" i="2" s="1"/>
  <c r="CS90" i="2" s="1"/>
  <c r="CS89" i="2" s="1"/>
  <c r="CS88" i="2" s="1"/>
  <c r="CS87" i="2" s="1"/>
  <c r="CS86" i="2" s="1"/>
  <c r="CS85" i="2" s="1"/>
  <c r="CS84" i="2" s="1"/>
  <c r="CS83" i="2" s="1"/>
  <c r="CS82" i="2" s="1"/>
  <c r="CS81" i="2" s="1"/>
  <c r="CS80" i="2" s="1"/>
  <c r="CS79" i="2" s="1"/>
  <c r="CS78" i="2" s="1"/>
  <c r="CS77" i="2" s="1"/>
  <c r="CS76" i="2" s="1"/>
  <c r="CS75" i="2" s="1"/>
  <c r="CS74" i="2" s="1"/>
  <c r="CS73" i="2" s="1"/>
  <c r="CS72" i="2" s="1"/>
  <c r="CS71" i="2" s="1"/>
  <c r="CS70" i="2" s="1"/>
  <c r="CS69" i="2" s="1"/>
  <c r="CT95" i="2"/>
  <c r="CT94" i="2" s="1"/>
  <c r="CT93" i="2" s="1"/>
  <c r="CT92" i="2" s="1"/>
  <c r="CT91" i="2" s="1"/>
  <c r="CT90" i="2" s="1"/>
  <c r="CT89" i="2" s="1"/>
  <c r="CT88" i="2" s="1"/>
  <c r="CT87" i="2" s="1"/>
  <c r="CT86" i="2" s="1"/>
  <c r="CT85" i="2" s="1"/>
  <c r="CT84" i="2" s="1"/>
  <c r="CT83" i="2" s="1"/>
  <c r="CT82" i="2" s="1"/>
  <c r="CT81" i="2" s="1"/>
  <c r="CT80" i="2" s="1"/>
  <c r="CT79" i="2" s="1"/>
  <c r="CT78" i="2" s="1"/>
  <c r="CT77" i="2" s="1"/>
  <c r="CT76" i="2" s="1"/>
  <c r="CT75" i="2" s="1"/>
  <c r="CT74" i="2" s="1"/>
  <c r="CT73" i="2" s="1"/>
  <c r="CT72" i="2" s="1"/>
  <c r="CT71" i="2" s="1"/>
  <c r="CT70" i="2" s="1"/>
  <c r="CT69" i="2" s="1"/>
  <c r="BV96" i="2"/>
  <c r="BW96" i="2"/>
  <c r="BW95" i="2" s="1"/>
  <c r="BW94" i="2" s="1"/>
  <c r="BW93" i="2" s="1"/>
  <c r="BW92" i="2" s="1"/>
  <c r="BW91" i="2" s="1"/>
  <c r="BW90" i="2" s="1"/>
  <c r="BW89" i="2" s="1"/>
  <c r="BW88" i="2" s="1"/>
  <c r="BW87" i="2" s="1"/>
  <c r="BW86" i="2" s="1"/>
  <c r="BW85" i="2" s="1"/>
  <c r="BW84" i="2" s="1"/>
  <c r="BW83" i="2" s="1"/>
  <c r="BW82" i="2" s="1"/>
  <c r="BW81" i="2" s="1"/>
  <c r="BW80" i="2" s="1"/>
  <c r="BW79" i="2" s="1"/>
  <c r="BW78" i="2" s="1"/>
  <c r="BW77" i="2" s="1"/>
  <c r="BW76" i="2" s="1"/>
  <c r="BW75" i="2" s="1"/>
  <c r="BW74" i="2" s="1"/>
  <c r="BW73" i="2" s="1"/>
  <c r="BW72" i="2" s="1"/>
  <c r="BW71" i="2" s="1"/>
  <c r="BW70" i="2" s="1"/>
  <c r="BW69" i="2" s="1"/>
  <c r="BX96" i="2"/>
  <c r="BX95" i="2" s="1"/>
  <c r="BX94" i="2" s="1"/>
  <c r="BX93" i="2" s="1"/>
  <c r="BX92" i="2" s="1"/>
  <c r="BX91" i="2" s="1"/>
  <c r="BX90" i="2" s="1"/>
  <c r="BX89" i="2" s="1"/>
  <c r="BX88" i="2" s="1"/>
  <c r="BX87" i="2" s="1"/>
  <c r="BX86" i="2" s="1"/>
  <c r="BX85" i="2" s="1"/>
  <c r="BX84" i="2" s="1"/>
  <c r="BX83" i="2" s="1"/>
  <c r="BX82" i="2" s="1"/>
  <c r="BX81" i="2" s="1"/>
  <c r="BX80" i="2" s="1"/>
  <c r="BX79" i="2" s="1"/>
  <c r="BX78" i="2" s="1"/>
  <c r="BX77" i="2" s="1"/>
  <c r="BX76" i="2" s="1"/>
  <c r="BX75" i="2" s="1"/>
  <c r="BX74" i="2" s="1"/>
  <c r="BX73" i="2" s="1"/>
  <c r="BX72" i="2" s="1"/>
  <c r="BX71" i="2" s="1"/>
  <c r="BX70" i="2" s="1"/>
  <c r="BX69" i="2" s="1"/>
  <c r="BY96" i="2"/>
  <c r="BY95" i="2" s="1"/>
  <c r="BY94" i="2" s="1"/>
  <c r="BY93" i="2" s="1"/>
  <c r="BY92" i="2" s="1"/>
  <c r="BY91" i="2" s="1"/>
  <c r="BY90" i="2" s="1"/>
  <c r="BY89" i="2" s="1"/>
  <c r="BY88" i="2" s="1"/>
  <c r="BY87" i="2" s="1"/>
  <c r="BY86" i="2" s="1"/>
  <c r="BY85" i="2" s="1"/>
  <c r="BY84" i="2" s="1"/>
  <c r="BY83" i="2" s="1"/>
  <c r="BY82" i="2" s="1"/>
  <c r="BY81" i="2" s="1"/>
  <c r="BY80" i="2" s="1"/>
  <c r="BY79" i="2" s="1"/>
  <c r="BY78" i="2" s="1"/>
  <c r="BY77" i="2" s="1"/>
  <c r="BY76" i="2" s="1"/>
  <c r="BY75" i="2" s="1"/>
  <c r="BY74" i="2" s="1"/>
  <c r="BY73" i="2" s="1"/>
  <c r="BY72" i="2" s="1"/>
  <c r="BY71" i="2" s="1"/>
  <c r="BY70" i="2" s="1"/>
  <c r="BY69" i="2" s="1"/>
  <c r="BZ96" i="2"/>
  <c r="BZ95" i="2" s="1"/>
  <c r="BZ94" i="2" s="1"/>
  <c r="BZ93" i="2" s="1"/>
  <c r="BZ92" i="2" s="1"/>
  <c r="BZ91" i="2" s="1"/>
  <c r="BZ90" i="2" s="1"/>
  <c r="BZ89" i="2" s="1"/>
  <c r="BZ88" i="2" s="1"/>
  <c r="BZ87" i="2" s="1"/>
  <c r="BZ86" i="2" s="1"/>
  <c r="BZ85" i="2" s="1"/>
  <c r="BZ84" i="2" s="1"/>
  <c r="BZ83" i="2" s="1"/>
  <c r="BZ82" i="2" s="1"/>
  <c r="BZ81" i="2" s="1"/>
  <c r="BZ80" i="2" s="1"/>
  <c r="BZ79" i="2" s="1"/>
  <c r="BZ78" i="2" s="1"/>
  <c r="BZ77" i="2" s="1"/>
  <c r="BZ76" i="2" s="1"/>
  <c r="BZ75" i="2" s="1"/>
  <c r="BZ74" i="2" s="1"/>
  <c r="BZ73" i="2" s="1"/>
  <c r="BZ72" i="2" s="1"/>
  <c r="BZ71" i="2" s="1"/>
  <c r="BZ70" i="2" s="1"/>
  <c r="BZ69" i="2" s="1"/>
  <c r="CA96" i="2"/>
  <c r="CA95" i="2" s="1"/>
  <c r="CA94" i="2" s="1"/>
  <c r="CA93" i="2" s="1"/>
  <c r="CA92" i="2" s="1"/>
  <c r="CA91" i="2" s="1"/>
  <c r="CA90" i="2" s="1"/>
  <c r="CA89" i="2" s="1"/>
  <c r="CA88" i="2" s="1"/>
  <c r="CA87" i="2" s="1"/>
  <c r="CA86" i="2" s="1"/>
  <c r="CA85" i="2" s="1"/>
  <c r="CA84" i="2" s="1"/>
  <c r="CA83" i="2" s="1"/>
  <c r="CA82" i="2" s="1"/>
  <c r="CA81" i="2" s="1"/>
  <c r="CA80" i="2" s="1"/>
  <c r="CA79" i="2" s="1"/>
  <c r="CA78" i="2" s="1"/>
  <c r="CA77" i="2" s="1"/>
  <c r="CA76" i="2" s="1"/>
  <c r="CA75" i="2" s="1"/>
  <c r="CA74" i="2" s="1"/>
  <c r="CA73" i="2" s="1"/>
  <c r="CA72" i="2" s="1"/>
  <c r="CA71" i="2" s="1"/>
  <c r="CA70" i="2" s="1"/>
  <c r="CA69" i="2" s="1"/>
  <c r="CB96" i="2"/>
  <c r="CB95" i="2" s="1"/>
  <c r="CB94" i="2" s="1"/>
  <c r="CB93" i="2" s="1"/>
  <c r="CB92" i="2" s="1"/>
  <c r="CB91" i="2" s="1"/>
  <c r="CB90" i="2" s="1"/>
  <c r="CB89" i="2" s="1"/>
  <c r="CB88" i="2" s="1"/>
  <c r="CB87" i="2" s="1"/>
  <c r="CB86" i="2" s="1"/>
  <c r="CB85" i="2" s="1"/>
  <c r="CB84" i="2" s="1"/>
  <c r="CB83" i="2" s="1"/>
  <c r="CB82" i="2" s="1"/>
  <c r="CB81" i="2" s="1"/>
  <c r="CB80" i="2" s="1"/>
  <c r="CB79" i="2" s="1"/>
  <c r="CB78" i="2" s="1"/>
  <c r="CB77" i="2" s="1"/>
  <c r="CB76" i="2" s="1"/>
  <c r="CB75" i="2" s="1"/>
  <c r="CB74" i="2" s="1"/>
  <c r="CB73" i="2" s="1"/>
  <c r="CB72" i="2" s="1"/>
  <c r="CB71" i="2" s="1"/>
  <c r="CB70" i="2" s="1"/>
  <c r="CB69" i="2" s="1"/>
  <c r="CC96" i="2"/>
  <c r="CD96" i="2"/>
  <c r="CE96" i="2"/>
  <c r="CE95" i="2" s="1"/>
  <c r="CE94" i="2" s="1"/>
  <c r="CE93" i="2" s="1"/>
  <c r="CE92" i="2" s="1"/>
  <c r="CE91" i="2" s="1"/>
  <c r="CE90" i="2" s="1"/>
  <c r="CE89" i="2" s="1"/>
  <c r="CE88" i="2" s="1"/>
  <c r="CE87" i="2" s="1"/>
  <c r="CE86" i="2" s="1"/>
  <c r="CE85" i="2" s="1"/>
  <c r="CE84" i="2" s="1"/>
  <c r="CE83" i="2" s="1"/>
  <c r="CE82" i="2" s="1"/>
  <c r="CE81" i="2" s="1"/>
  <c r="CE80" i="2" s="1"/>
  <c r="CE79" i="2" s="1"/>
  <c r="CE78" i="2" s="1"/>
  <c r="CE77" i="2" s="1"/>
  <c r="CE76" i="2" s="1"/>
  <c r="CE75" i="2" s="1"/>
  <c r="CE74" i="2" s="1"/>
  <c r="CE73" i="2" s="1"/>
  <c r="CE72" i="2" s="1"/>
  <c r="CE71" i="2" s="1"/>
  <c r="CE70" i="2" s="1"/>
  <c r="CE69" i="2" s="1"/>
  <c r="CF96" i="2"/>
  <c r="CF95" i="2" s="1"/>
  <c r="CF94" i="2" s="1"/>
  <c r="CF93" i="2" s="1"/>
  <c r="CF92" i="2" s="1"/>
  <c r="CF91" i="2" s="1"/>
  <c r="CF90" i="2" s="1"/>
  <c r="CF89" i="2" s="1"/>
  <c r="CF88" i="2" s="1"/>
  <c r="CF87" i="2" s="1"/>
  <c r="CF86" i="2" s="1"/>
  <c r="CF85" i="2" s="1"/>
  <c r="CF84" i="2" s="1"/>
  <c r="CF83" i="2" s="1"/>
  <c r="CF82" i="2" s="1"/>
  <c r="CF81" i="2" s="1"/>
  <c r="CF80" i="2" s="1"/>
  <c r="CF79" i="2" s="1"/>
  <c r="CF78" i="2" s="1"/>
  <c r="CF77" i="2" s="1"/>
  <c r="CF76" i="2" s="1"/>
  <c r="CF75" i="2" s="1"/>
  <c r="CF74" i="2" s="1"/>
  <c r="CF73" i="2" s="1"/>
  <c r="CF72" i="2" s="1"/>
  <c r="CF71" i="2" s="1"/>
  <c r="CF70" i="2" s="1"/>
  <c r="CF69" i="2" s="1"/>
  <c r="CG96" i="2"/>
  <c r="CG95" i="2" s="1"/>
  <c r="CG94" i="2" s="1"/>
  <c r="CG93" i="2" s="1"/>
  <c r="CG92" i="2" s="1"/>
  <c r="CG91" i="2" s="1"/>
  <c r="CG90" i="2" s="1"/>
  <c r="CG89" i="2" s="1"/>
  <c r="CG88" i="2" s="1"/>
  <c r="CG87" i="2" s="1"/>
  <c r="CG86" i="2" s="1"/>
  <c r="CG85" i="2" s="1"/>
  <c r="CG84" i="2" s="1"/>
  <c r="CG83" i="2" s="1"/>
  <c r="CG82" i="2" s="1"/>
  <c r="CG81" i="2" s="1"/>
  <c r="CG80" i="2" s="1"/>
  <c r="CG79" i="2" s="1"/>
  <c r="CG78" i="2" s="1"/>
  <c r="CG77" i="2" s="1"/>
  <c r="CG76" i="2" s="1"/>
  <c r="CG75" i="2" s="1"/>
  <c r="CG74" i="2" s="1"/>
  <c r="CG73" i="2" s="1"/>
  <c r="CG72" i="2" s="1"/>
  <c r="CG71" i="2" s="1"/>
  <c r="CG70" i="2" s="1"/>
  <c r="CG69" i="2" s="1"/>
  <c r="CH96" i="2"/>
  <c r="CH95" i="2" s="1"/>
  <c r="CH94" i="2" s="1"/>
  <c r="CH93" i="2" s="1"/>
  <c r="CH92" i="2" s="1"/>
  <c r="CH91" i="2" s="1"/>
  <c r="CH90" i="2" s="1"/>
  <c r="CH89" i="2" s="1"/>
  <c r="CH88" i="2" s="1"/>
  <c r="CH87" i="2" s="1"/>
  <c r="CH86" i="2" s="1"/>
  <c r="CH85" i="2" s="1"/>
  <c r="CH84" i="2" s="1"/>
  <c r="CH83" i="2" s="1"/>
  <c r="CH82" i="2" s="1"/>
  <c r="CH81" i="2" s="1"/>
  <c r="CH80" i="2" s="1"/>
  <c r="CH79" i="2" s="1"/>
  <c r="CH78" i="2" s="1"/>
  <c r="CH77" i="2" s="1"/>
  <c r="CH76" i="2" s="1"/>
  <c r="CH75" i="2" s="1"/>
  <c r="CH74" i="2" s="1"/>
  <c r="CH73" i="2" s="1"/>
  <c r="CH72" i="2" s="1"/>
  <c r="CH71" i="2" s="1"/>
  <c r="CH70" i="2" s="1"/>
  <c r="CH69" i="2" s="1"/>
  <c r="CI96" i="2"/>
  <c r="CI95" i="2" s="1"/>
  <c r="CI94" i="2" s="1"/>
  <c r="CI93" i="2" s="1"/>
  <c r="CI92" i="2" s="1"/>
  <c r="CI91" i="2" s="1"/>
  <c r="CI90" i="2" s="1"/>
  <c r="CI89" i="2" s="1"/>
  <c r="CI88" i="2" s="1"/>
  <c r="CI87" i="2" s="1"/>
  <c r="CI86" i="2" s="1"/>
  <c r="CI85" i="2" s="1"/>
  <c r="CI84" i="2" s="1"/>
  <c r="CI83" i="2" s="1"/>
  <c r="CI82" i="2" s="1"/>
  <c r="CI81" i="2" s="1"/>
  <c r="CI80" i="2" s="1"/>
  <c r="CI79" i="2" s="1"/>
  <c r="CI78" i="2" s="1"/>
  <c r="CI77" i="2" s="1"/>
  <c r="CI76" i="2" s="1"/>
  <c r="CI75" i="2" s="1"/>
  <c r="CI74" i="2" s="1"/>
  <c r="CI73" i="2" s="1"/>
  <c r="CI72" i="2" s="1"/>
  <c r="CI71" i="2" s="1"/>
  <c r="CI70" i="2" s="1"/>
  <c r="CI69" i="2" s="1"/>
  <c r="CJ96" i="2"/>
  <c r="CJ95" i="2" s="1"/>
  <c r="CJ94" i="2" s="1"/>
  <c r="CJ93" i="2" s="1"/>
  <c r="CJ92" i="2" s="1"/>
  <c r="CJ91" i="2" s="1"/>
  <c r="CJ90" i="2" s="1"/>
  <c r="CJ89" i="2" s="1"/>
  <c r="CJ88" i="2" s="1"/>
  <c r="CJ87" i="2" s="1"/>
  <c r="CJ86" i="2" s="1"/>
  <c r="CJ85" i="2" s="1"/>
  <c r="CJ84" i="2" s="1"/>
  <c r="CJ83" i="2" s="1"/>
  <c r="CJ82" i="2" s="1"/>
  <c r="CJ81" i="2" s="1"/>
  <c r="CJ80" i="2" s="1"/>
  <c r="CJ79" i="2" s="1"/>
  <c r="CJ78" i="2" s="1"/>
  <c r="CJ77" i="2" s="1"/>
  <c r="CJ76" i="2" s="1"/>
  <c r="CJ75" i="2" s="1"/>
  <c r="CJ74" i="2" s="1"/>
  <c r="CJ73" i="2" s="1"/>
  <c r="CJ72" i="2" s="1"/>
  <c r="CJ71" i="2" s="1"/>
  <c r="CJ70" i="2" s="1"/>
  <c r="CJ69" i="2" s="1"/>
  <c r="CK96" i="2"/>
  <c r="CL96" i="2"/>
  <c r="CM96" i="2"/>
  <c r="CM95" i="2" s="1"/>
  <c r="CM94" i="2" s="1"/>
  <c r="CM93" i="2" s="1"/>
  <c r="CM92" i="2" s="1"/>
  <c r="CM91" i="2" s="1"/>
  <c r="CM90" i="2" s="1"/>
  <c r="CM89" i="2" s="1"/>
  <c r="CM88" i="2" s="1"/>
  <c r="CM87" i="2" s="1"/>
  <c r="CM86" i="2" s="1"/>
  <c r="CM85" i="2" s="1"/>
  <c r="CM84" i="2" s="1"/>
  <c r="CM83" i="2" s="1"/>
  <c r="CM82" i="2" s="1"/>
  <c r="CM81" i="2" s="1"/>
  <c r="CM80" i="2" s="1"/>
  <c r="CM79" i="2" s="1"/>
  <c r="CM78" i="2" s="1"/>
  <c r="CM77" i="2" s="1"/>
  <c r="CM76" i="2" s="1"/>
  <c r="CM75" i="2" s="1"/>
  <c r="CM74" i="2" s="1"/>
  <c r="CM73" i="2" s="1"/>
  <c r="CM72" i="2" s="1"/>
  <c r="CM71" i="2" s="1"/>
  <c r="CM70" i="2" s="1"/>
  <c r="CM69" i="2" s="1"/>
  <c r="CN96" i="2"/>
  <c r="CN95" i="2" s="1"/>
  <c r="CN94" i="2" s="1"/>
  <c r="CN93" i="2" s="1"/>
  <c r="CN92" i="2" s="1"/>
  <c r="CN91" i="2" s="1"/>
  <c r="CN90" i="2" s="1"/>
  <c r="CN89" i="2" s="1"/>
  <c r="CN88" i="2" s="1"/>
  <c r="CN87" i="2" s="1"/>
  <c r="CN86" i="2" s="1"/>
  <c r="CN85" i="2" s="1"/>
  <c r="CN84" i="2" s="1"/>
  <c r="CN83" i="2" s="1"/>
  <c r="CN82" i="2" s="1"/>
  <c r="CN81" i="2" s="1"/>
  <c r="CN80" i="2" s="1"/>
  <c r="CN79" i="2" s="1"/>
  <c r="CN78" i="2" s="1"/>
  <c r="CN77" i="2" s="1"/>
  <c r="CN76" i="2" s="1"/>
  <c r="CN75" i="2" s="1"/>
  <c r="CN74" i="2" s="1"/>
  <c r="CN73" i="2" s="1"/>
  <c r="CN72" i="2" s="1"/>
  <c r="CN71" i="2" s="1"/>
  <c r="CN70" i="2" s="1"/>
  <c r="CN69" i="2" s="1"/>
  <c r="CO96" i="2"/>
  <c r="CO95" i="2" s="1"/>
  <c r="CO94" i="2" s="1"/>
  <c r="CO93" i="2" s="1"/>
  <c r="CO92" i="2" s="1"/>
  <c r="CO91" i="2" s="1"/>
  <c r="CO90" i="2" s="1"/>
  <c r="CO89" i="2" s="1"/>
  <c r="CO88" i="2" s="1"/>
  <c r="CO87" i="2" s="1"/>
  <c r="CO86" i="2" s="1"/>
  <c r="CO85" i="2" s="1"/>
  <c r="CO84" i="2" s="1"/>
  <c r="CO83" i="2" s="1"/>
  <c r="CO82" i="2" s="1"/>
  <c r="CO81" i="2" s="1"/>
  <c r="CO80" i="2" s="1"/>
  <c r="CO79" i="2" s="1"/>
  <c r="CO78" i="2" s="1"/>
  <c r="CO77" i="2" s="1"/>
  <c r="CO76" i="2" s="1"/>
  <c r="CO75" i="2" s="1"/>
  <c r="CO74" i="2" s="1"/>
  <c r="CO73" i="2" s="1"/>
  <c r="CO72" i="2" s="1"/>
  <c r="CO71" i="2" s="1"/>
  <c r="CO70" i="2" s="1"/>
  <c r="CO69" i="2" s="1"/>
  <c r="CP96" i="2"/>
  <c r="CP95" i="2" s="1"/>
  <c r="CP94" i="2" s="1"/>
  <c r="CP93" i="2" s="1"/>
  <c r="CP92" i="2" s="1"/>
  <c r="CP91" i="2" s="1"/>
  <c r="CP90" i="2" s="1"/>
  <c r="CP89" i="2" s="1"/>
  <c r="CP88" i="2" s="1"/>
  <c r="CP87" i="2" s="1"/>
  <c r="CP86" i="2" s="1"/>
  <c r="CP85" i="2" s="1"/>
  <c r="CP84" i="2" s="1"/>
  <c r="CP83" i="2" s="1"/>
  <c r="CP82" i="2" s="1"/>
  <c r="CP81" i="2" s="1"/>
  <c r="CP80" i="2" s="1"/>
  <c r="CP79" i="2" s="1"/>
  <c r="CP78" i="2" s="1"/>
  <c r="CP77" i="2" s="1"/>
  <c r="CP76" i="2" s="1"/>
  <c r="CP75" i="2" s="1"/>
  <c r="CP74" i="2" s="1"/>
  <c r="CP73" i="2" s="1"/>
  <c r="CP72" i="2" s="1"/>
  <c r="CP71" i="2" s="1"/>
  <c r="CP70" i="2" s="1"/>
  <c r="CP69" i="2" s="1"/>
  <c r="CQ96" i="2"/>
  <c r="CQ95" i="2" s="1"/>
  <c r="CQ94" i="2" s="1"/>
  <c r="CQ93" i="2" s="1"/>
  <c r="CQ92" i="2" s="1"/>
  <c r="CQ91" i="2" s="1"/>
  <c r="CQ90" i="2" s="1"/>
  <c r="CQ89" i="2" s="1"/>
  <c r="CQ88" i="2" s="1"/>
  <c r="CQ87" i="2" s="1"/>
  <c r="CQ86" i="2" s="1"/>
  <c r="CQ85" i="2" s="1"/>
  <c r="CQ84" i="2" s="1"/>
  <c r="CQ83" i="2" s="1"/>
  <c r="CQ82" i="2" s="1"/>
  <c r="CQ81" i="2" s="1"/>
  <c r="CQ80" i="2" s="1"/>
  <c r="CQ79" i="2" s="1"/>
  <c r="CQ78" i="2" s="1"/>
  <c r="CQ77" i="2" s="1"/>
  <c r="CQ76" i="2" s="1"/>
  <c r="CQ75" i="2" s="1"/>
  <c r="CQ74" i="2" s="1"/>
  <c r="CQ73" i="2" s="1"/>
  <c r="CQ72" i="2" s="1"/>
  <c r="CQ71" i="2" s="1"/>
  <c r="CQ70" i="2" s="1"/>
  <c r="CQ69" i="2" s="1"/>
  <c r="CR96" i="2"/>
  <c r="CR95" i="2" s="1"/>
  <c r="CR94" i="2" s="1"/>
  <c r="CR93" i="2" s="1"/>
  <c r="CR92" i="2" s="1"/>
  <c r="CR91" i="2" s="1"/>
  <c r="CR90" i="2" s="1"/>
  <c r="CR89" i="2" s="1"/>
  <c r="CR88" i="2" s="1"/>
  <c r="CR87" i="2" s="1"/>
  <c r="CR86" i="2" s="1"/>
  <c r="CR85" i="2" s="1"/>
  <c r="CR84" i="2" s="1"/>
  <c r="CR83" i="2" s="1"/>
  <c r="CR82" i="2" s="1"/>
  <c r="CR81" i="2" s="1"/>
  <c r="CR80" i="2" s="1"/>
  <c r="CR79" i="2" s="1"/>
  <c r="CR78" i="2" s="1"/>
  <c r="CR77" i="2" s="1"/>
  <c r="CR76" i="2" s="1"/>
  <c r="CR75" i="2" s="1"/>
  <c r="CR74" i="2" s="1"/>
  <c r="CR73" i="2" s="1"/>
  <c r="CR72" i="2" s="1"/>
  <c r="CR71" i="2" s="1"/>
  <c r="CR70" i="2" s="1"/>
  <c r="CR69" i="2" s="1"/>
  <c r="CS96" i="2"/>
  <c r="CT96" i="2"/>
  <c r="CU96" i="2"/>
  <c r="CU95" i="2" s="1"/>
  <c r="CU94" i="2" s="1"/>
  <c r="CU93" i="2" s="1"/>
  <c r="CU92" i="2" s="1"/>
  <c r="CU91" i="2" s="1"/>
  <c r="CU90" i="2" s="1"/>
  <c r="CU89" i="2" s="1"/>
  <c r="CU88" i="2" s="1"/>
  <c r="CU87" i="2" s="1"/>
  <c r="CU86" i="2" s="1"/>
  <c r="CU85" i="2" s="1"/>
  <c r="CU84" i="2" s="1"/>
  <c r="CU83" i="2" s="1"/>
  <c r="CU82" i="2" s="1"/>
  <c r="CU81" i="2" s="1"/>
  <c r="CU80" i="2" s="1"/>
  <c r="CU79" i="2" s="1"/>
  <c r="CU78" i="2" s="1"/>
  <c r="CU77" i="2" s="1"/>
  <c r="CU76" i="2" s="1"/>
  <c r="CU75" i="2" s="1"/>
  <c r="CU74" i="2" s="1"/>
  <c r="CU73" i="2" s="1"/>
  <c r="CU72" i="2" s="1"/>
  <c r="CU71" i="2" s="1"/>
  <c r="CU70" i="2" s="1"/>
  <c r="CU69" i="2" s="1"/>
  <c r="CV96" i="2"/>
  <c r="CV95" i="2" s="1"/>
  <c r="CV94" i="2" s="1"/>
  <c r="CV93" i="2" s="1"/>
  <c r="CV92" i="2" s="1"/>
  <c r="CV91" i="2" s="1"/>
  <c r="CV90" i="2" s="1"/>
  <c r="CV89" i="2" s="1"/>
  <c r="CV88" i="2" s="1"/>
  <c r="CV87" i="2" s="1"/>
  <c r="CV86" i="2" s="1"/>
  <c r="CV85" i="2" s="1"/>
  <c r="CV84" i="2" s="1"/>
  <c r="CV83" i="2" s="1"/>
  <c r="CV82" i="2" s="1"/>
  <c r="CV81" i="2" s="1"/>
  <c r="CV80" i="2" s="1"/>
  <c r="CV79" i="2" s="1"/>
  <c r="CV78" i="2" s="1"/>
  <c r="CV77" i="2" s="1"/>
  <c r="CV76" i="2" s="1"/>
  <c r="CV75" i="2" s="1"/>
  <c r="CV74" i="2" s="1"/>
  <c r="CV73" i="2" s="1"/>
  <c r="CV72" i="2" s="1"/>
  <c r="CV71" i="2" s="1"/>
  <c r="CV70" i="2" s="1"/>
  <c r="CV69" i="2" s="1"/>
  <c r="CW96" i="2"/>
  <c r="CW95" i="2" s="1"/>
  <c r="CW94" i="2" s="1"/>
  <c r="CW93" i="2" s="1"/>
  <c r="CW92" i="2" s="1"/>
  <c r="CW91" i="2" s="1"/>
  <c r="CW90" i="2" s="1"/>
  <c r="CW89" i="2" s="1"/>
  <c r="CW88" i="2" s="1"/>
  <c r="CW87" i="2" s="1"/>
  <c r="CW86" i="2" s="1"/>
  <c r="CW85" i="2" s="1"/>
  <c r="CW84" i="2" s="1"/>
  <c r="CW83" i="2" s="1"/>
  <c r="CW82" i="2" s="1"/>
  <c r="CW81" i="2" s="1"/>
  <c r="CW80" i="2" s="1"/>
  <c r="CW79" i="2" s="1"/>
  <c r="CW78" i="2" s="1"/>
  <c r="CW77" i="2" s="1"/>
  <c r="CW76" i="2" s="1"/>
  <c r="CW75" i="2" s="1"/>
  <c r="CW74" i="2" s="1"/>
  <c r="CW73" i="2" s="1"/>
  <c r="CW72" i="2" s="1"/>
  <c r="CW71" i="2" s="1"/>
  <c r="CW70" i="2" s="1"/>
  <c r="CW69" i="2" s="1"/>
  <c r="CX96" i="2"/>
  <c r="CX95" i="2" s="1"/>
  <c r="CX94" i="2" s="1"/>
  <c r="CX93" i="2" s="1"/>
  <c r="CX92" i="2" s="1"/>
  <c r="CX91" i="2" s="1"/>
  <c r="CX90" i="2" s="1"/>
  <c r="CX89" i="2" s="1"/>
  <c r="CX88" i="2" s="1"/>
  <c r="CX87" i="2" s="1"/>
  <c r="CX86" i="2" s="1"/>
  <c r="CX85" i="2" s="1"/>
  <c r="CX84" i="2" s="1"/>
  <c r="CX83" i="2" s="1"/>
  <c r="CX82" i="2" s="1"/>
  <c r="CX81" i="2" s="1"/>
  <c r="CX80" i="2" s="1"/>
  <c r="CX79" i="2" s="1"/>
  <c r="CX78" i="2" s="1"/>
  <c r="CX77" i="2" s="1"/>
  <c r="CX76" i="2" s="1"/>
  <c r="CX75" i="2" s="1"/>
  <c r="CX74" i="2" s="1"/>
  <c r="CX73" i="2" s="1"/>
  <c r="CX72" i="2" s="1"/>
  <c r="CX71" i="2" s="1"/>
  <c r="CX70" i="2" s="1"/>
  <c r="CX69" i="2" s="1"/>
  <c r="CY96" i="2"/>
  <c r="CY95" i="2" s="1"/>
  <c r="CY94" i="2" s="1"/>
  <c r="CY93" i="2" s="1"/>
  <c r="CY92" i="2" s="1"/>
  <c r="CY91" i="2" s="1"/>
  <c r="CY90" i="2" s="1"/>
  <c r="CY89" i="2" s="1"/>
  <c r="CY88" i="2" s="1"/>
  <c r="CY87" i="2" s="1"/>
  <c r="CY86" i="2" s="1"/>
  <c r="CY85" i="2" s="1"/>
  <c r="CY84" i="2" s="1"/>
  <c r="CY83" i="2" s="1"/>
  <c r="CY82" i="2" s="1"/>
  <c r="CY81" i="2" s="1"/>
  <c r="CY80" i="2" s="1"/>
  <c r="CY79" i="2" s="1"/>
  <c r="CY78" i="2" s="1"/>
  <c r="CY77" i="2" s="1"/>
  <c r="CY76" i="2" s="1"/>
  <c r="CY75" i="2" s="1"/>
  <c r="CY74" i="2" s="1"/>
  <c r="CY73" i="2" s="1"/>
  <c r="CY72" i="2" s="1"/>
  <c r="CY71" i="2" s="1"/>
  <c r="CY70" i="2" s="1"/>
  <c r="CY69" i="2" s="1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BV97" i="2"/>
  <c r="AO70" i="2"/>
  <c r="BR70" i="2"/>
  <c r="AO71" i="2"/>
  <c r="BR71" i="2"/>
  <c r="AO72" i="2"/>
  <c r="BR72" i="2"/>
  <c r="AO73" i="2"/>
  <c r="BR73" i="2"/>
  <c r="AO74" i="2"/>
  <c r="BR74" i="2"/>
  <c r="AO75" i="2"/>
  <c r="BR75" i="2"/>
  <c r="AO76" i="2"/>
  <c r="AO77" i="2"/>
  <c r="BR77" i="2"/>
  <c r="AO78" i="2"/>
  <c r="BR78" i="2"/>
  <c r="AO79" i="2"/>
  <c r="BR79" i="2"/>
  <c r="AO80" i="2"/>
  <c r="BR80" i="2"/>
  <c r="AO81" i="2"/>
  <c r="BR81" i="2"/>
  <c r="AO82" i="2"/>
  <c r="BR82" i="2"/>
  <c r="AO83" i="2"/>
  <c r="BR83" i="2"/>
  <c r="AO84" i="2"/>
  <c r="AO85" i="2"/>
  <c r="BR85" i="2"/>
  <c r="AO86" i="2"/>
  <c r="BR86" i="2"/>
  <c r="AO87" i="2"/>
  <c r="BR87" i="2"/>
  <c r="AO88" i="2"/>
  <c r="BR88" i="2"/>
  <c r="AO89" i="2"/>
  <c r="BR89" i="2"/>
  <c r="AO90" i="2"/>
  <c r="BR90" i="2"/>
  <c r="AO91" i="2"/>
  <c r="BR91" i="2"/>
  <c r="AO92" i="2"/>
  <c r="AO93" i="2"/>
  <c r="BR93" i="2"/>
  <c r="AO94" i="2"/>
  <c r="BR94" i="2"/>
  <c r="AO95" i="2"/>
  <c r="BR95" i="2"/>
  <c r="AO96" i="2"/>
  <c r="BR96" i="2"/>
  <c r="AO97" i="2"/>
  <c r="BR97" i="2"/>
  <c r="EF97" i="2" s="1"/>
  <c r="EF96" i="2" s="1"/>
  <c r="AO98" i="2"/>
  <c r="BR98" i="2"/>
  <c r="BR69" i="2"/>
  <c r="AO69" i="2"/>
  <c r="BW37" i="2"/>
  <c r="EF95" i="2" l="1"/>
  <c r="EF94" i="2" s="1"/>
  <c r="EF93" i="2" s="1"/>
  <c r="EF92" i="2" s="1"/>
  <c r="EF91" i="2" s="1"/>
  <c r="EF90" i="2" s="1"/>
  <c r="EF89" i="2" s="1"/>
  <c r="EF88" i="2" s="1"/>
  <c r="EF87" i="2" s="1"/>
  <c r="EF86" i="2" s="1"/>
  <c r="EF85" i="2" s="1"/>
  <c r="EF84" i="2" s="1"/>
  <c r="EF83" i="2" s="1"/>
  <c r="EF82" i="2" s="1"/>
  <c r="EF81" i="2" s="1"/>
  <c r="EF80" i="2" s="1"/>
  <c r="EF79" i="2" s="1"/>
  <c r="EF78" i="2" s="1"/>
  <c r="EF77" i="2" s="1"/>
  <c r="EF76" i="2" s="1"/>
  <c r="EF75" i="2" s="1"/>
  <c r="EF74" i="2" s="1"/>
  <c r="EF73" i="2" s="1"/>
  <c r="EF72" i="2" s="1"/>
  <c r="EF71" i="2" s="1"/>
  <c r="EF70" i="2" s="1"/>
  <c r="EF69" i="2" s="1"/>
  <c r="AP37" i="2"/>
  <c r="DD37" i="2" s="1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AP38" i="2"/>
  <c r="DD38" i="2" s="1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AP39" i="2"/>
  <c r="DD39" i="2" s="1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AP40" i="2"/>
  <c r="DD40" i="2" s="1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AP41" i="2"/>
  <c r="DD41" i="2" s="1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AP42" i="2"/>
  <c r="DD42" i="2" s="1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AP43" i="2"/>
  <c r="DD43" i="2" s="1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AP44" i="2"/>
  <c r="DD44" i="2" s="1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AP45" i="2"/>
  <c r="DD45" i="2" s="1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AP46" i="2"/>
  <c r="DD46" i="2" s="1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AP47" i="2"/>
  <c r="DD47" i="2" s="1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AP48" i="2"/>
  <c r="DD48" i="2" s="1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AP49" i="2"/>
  <c r="DD49" i="2" s="1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AP50" i="2"/>
  <c r="DD50" i="2" s="1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AP51" i="2"/>
  <c r="DD51" i="2" s="1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AP52" i="2"/>
  <c r="DD52" i="2" s="1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AP53" i="2"/>
  <c r="DD53" i="2" s="1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AP54" i="2"/>
  <c r="DD54" i="2" s="1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AP55" i="2"/>
  <c r="DD55" i="2" s="1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AP56" i="2"/>
  <c r="DD56" i="2" s="1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AP57" i="2"/>
  <c r="DD57" i="2" s="1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AP58" i="2"/>
  <c r="DD58" i="2" s="1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AP59" i="2"/>
  <c r="DD59" i="2" s="1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AP60" i="2"/>
  <c r="DD60" i="2" s="1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AP61" i="2"/>
  <c r="DD61" i="2" s="1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AP62" i="2"/>
  <c r="DD62" i="2" s="1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AP63" i="2"/>
  <c r="DD63" i="2" s="1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AP64" i="2"/>
  <c r="DD64" i="2" s="1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AP65" i="2"/>
  <c r="DD65" i="2" s="1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AP66" i="2"/>
  <c r="DD66" i="2" s="1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X48" i="2"/>
  <c r="BY48" i="2" s="1"/>
  <c r="BZ48" i="2" s="1"/>
  <c r="CA48" i="2" s="1"/>
  <c r="CB48" i="2" s="1"/>
  <c r="CC48" i="2" s="1"/>
  <c r="CD48" i="2" s="1"/>
  <c r="CE48" i="2" s="1"/>
  <c r="CF48" i="2" s="1"/>
  <c r="CG48" i="2" s="1"/>
  <c r="CH48" i="2" s="1"/>
  <c r="CI48" i="2" s="1"/>
  <c r="CJ48" i="2" s="1"/>
  <c r="CK48" i="2" s="1"/>
  <c r="CL48" i="2" s="1"/>
  <c r="CM48" i="2" s="1"/>
  <c r="CN48" i="2" s="1"/>
  <c r="CO48" i="2" s="1"/>
  <c r="CP48" i="2" s="1"/>
  <c r="CQ48" i="2" s="1"/>
  <c r="CR48" i="2" s="1"/>
  <c r="CS48" i="2" s="1"/>
  <c r="CT48" i="2" s="1"/>
  <c r="CU48" i="2" s="1"/>
  <c r="CV48" i="2" s="1"/>
  <c r="CW48" i="2" s="1"/>
  <c r="CX48" i="2" s="1"/>
  <c r="CY48" i="2" s="1"/>
  <c r="BX54" i="2"/>
  <c r="BY54" i="2" s="1"/>
  <c r="BZ54" i="2" s="1"/>
  <c r="CA54" i="2" s="1"/>
  <c r="CB54" i="2" s="1"/>
  <c r="CC54" i="2" s="1"/>
  <c r="CD54" i="2" s="1"/>
  <c r="CE54" i="2" s="1"/>
  <c r="CF54" i="2" s="1"/>
  <c r="CG54" i="2" s="1"/>
  <c r="CH54" i="2" s="1"/>
  <c r="CI54" i="2" s="1"/>
  <c r="CJ54" i="2" s="1"/>
  <c r="CK54" i="2" s="1"/>
  <c r="CL54" i="2" s="1"/>
  <c r="CM54" i="2" s="1"/>
  <c r="CN54" i="2" s="1"/>
  <c r="CO54" i="2" s="1"/>
  <c r="CP54" i="2" s="1"/>
  <c r="CQ54" i="2" s="1"/>
  <c r="CR54" i="2" s="1"/>
  <c r="CS54" i="2" s="1"/>
  <c r="CT54" i="2" s="1"/>
  <c r="CU54" i="2" s="1"/>
  <c r="CV54" i="2" s="1"/>
  <c r="CW54" i="2" s="1"/>
  <c r="CX54" i="2" s="1"/>
  <c r="CY54" i="2" s="1"/>
  <c r="BX59" i="2"/>
  <c r="BY59" i="2" s="1"/>
  <c r="BZ59" i="2" s="1"/>
  <c r="CA59" i="2" s="1"/>
  <c r="CB59" i="2" s="1"/>
  <c r="CC59" i="2" s="1"/>
  <c r="CD59" i="2" s="1"/>
  <c r="CE59" i="2" s="1"/>
  <c r="CF59" i="2" s="1"/>
  <c r="CG59" i="2" s="1"/>
  <c r="CH59" i="2" s="1"/>
  <c r="CI59" i="2" s="1"/>
  <c r="CJ59" i="2" s="1"/>
  <c r="CK59" i="2" s="1"/>
  <c r="CL59" i="2" s="1"/>
  <c r="CM59" i="2" s="1"/>
  <c r="CN59" i="2" s="1"/>
  <c r="CO59" i="2" s="1"/>
  <c r="CP59" i="2" s="1"/>
  <c r="CQ59" i="2" s="1"/>
  <c r="CR59" i="2" s="1"/>
  <c r="CS59" i="2" s="1"/>
  <c r="CT59" i="2" s="1"/>
  <c r="CU59" i="2" s="1"/>
  <c r="CV59" i="2" s="1"/>
  <c r="CW59" i="2" s="1"/>
  <c r="CX59" i="2" s="1"/>
  <c r="CY59" i="2" s="1"/>
  <c r="BX64" i="2"/>
  <c r="BY64" i="2" s="1"/>
  <c r="BZ64" i="2" s="1"/>
  <c r="CA64" i="2" s="1"/>
  <c r="CB64" i="2" s="1"/>
  <c r="CC64" i="2" s="1"/>
  <c r="CD64" i="2" s="1"/>
  <c r="CE64" i="2" s="1"/>
  <c r="CF64" i="2" s="1"/>
  <c r="CG64" i="2" s="1"/>
  <c r="CH64" i="2" s="1"/>
  <c r="CI64" i="2" s="1"/>
  <c r="CJ64" i="2" s="1"/>
  <c r="CK64" i="2" s="1"/>
  <c r="CL64" i="2" s="1"/>
  <c r="CM64" i="2" s="1"/>
  <c r="CN64" i="2" s="1"/>
  <c r="CO64" i="2" s="1"/>
  <c r="CP64" i="2" s="1"/>
  <c r="CQ64" i="2" s="1"/>
  <c r="CR64" i="2" s="1"/>
  <c r="CS64" i="2" s="1"/>
  <c r="CT64" i="2" s="1"/>
  <c r="CU64" i="2" s="1"/>
  <c r="CV64" i="2" s="1"/>
  <c r="CW64" i="2" s="1"/>
  <c r="CX64" i="2" s="1"/>
  <c r="CY64" i="2" s="1"/>
  <c r="BW38" i="2"/>
  <c r="BX38" i="2" s="1"/>
  <c r="BY38" i="2" s="1"/>
  <c r="BZ38" i="2" s="1"/>
  <c r="CA38" i="2" s="1"/>
  <c r="CB38" i="2" s="1"/>
  <c r="CC38" i="2" s="1"/>
  <c r="CD38" i="2" s="1"/>
  <c r="CE38" i="2" s="1"/>
  <c r="CF38" i="2" s="1"/>
  <c r="CG38" i="2" s="1"/>
  <c r="CH38" i="2" s="1"/>
  <c r="CI38" i="2" s="1"/>
  <c r="CJ38" i="2" s="1"/>
  <c r="CK38" i="2" s="1"/>
  <c r="CL38" i="2" s="1"/>
  <c r="CM38" i="2" s="1"/>
  <c r="CN38" i="2" s="1"/>
  <c r="CO38" i="2" s="1"/>
  <c r="CP38" i="2" s="1"/>
  <c r="CQ38" i="2" s="1"/>
  <c r="CR38" i="2" s="1"/>
  <c r="CS38" i="2" s="1"/>
  <c r="CT38" i="2" s="1"/>
  <c r="CU38" i="2" s="1"/>
  <c r="CV38" i="2" s="1"/>
  <c r="CW38" i="2" s="1"/>
  <c r="CX38" i="2" s="1"/>
  <c r="CY38" i="2" s="1"/>
  <c r="BW39" i="2"/>
  <c r="BX39" i="2" s="1"/>
  <c r="BY39" i="2" s="1"/>
  <c r="BZ39" i="2" s="1"/>
  <c r="CA39" i="2" s="1"/>
  <c r="CB39" i="2" s="1"/>
  <c r="CC39" i="2" s="1"/>
  <c r="CD39" i="2" s="1"/>
  <c r="CE39" i="2" s="1"/>
  <c r="CF39" i="2" s="1"/>
  <c r="CG39" i="2" s="1"/>
  <c r="CH39" i="2" s="1"/>
  <c r="CI39" i="2" s="1"/>
  <c r="CJ39" i="2" s="1"/>
  <c r="CK39" i="2" s="1"/>
  <c r="CL39" i="2" s="1"/>
  <c r="CM39" i="2" s="1"/>
  <c r="CN39" i="2" s="1"/>
  <c r="CO39" i="2" s="1"/>
  <c r="CP39" i="2" s="1"/>
  <c r="CQ39" i="2" s="1"/>
  <c r="CR39" i="2" s="1"/>
  <c r="CS39" i="2" s="1"/>
  <c r="CT39" i="2" s="1"/>
  <c r="CU39" i="2" s="1"/>
  <c r="CV39" i="2" s="1"/>
  <c r="CW39" i="2" s="1"/>
  <c r="CX39" i="2" s="1"/>
  <c r="CY39" i="2" s="1"/>
  <c r="BW40" i="2"/>
  <c r="BX40" i="2" s="1"/>
  <c r="BY40" i="2" s="1"/>
  <c r="BZ40" i="2" s="1"/>
  <c r="CA40" i="2" s="1"/>
  <c r="CB40" i="2" s="1"/>
  <c r="CC40" i="2" s="1"/>
  <c r="CD40" i="2" s="1"/>
  <c r="CE40" i="2" s="1"/>
  <c r="CF40" i="2" s="1"/>
  <c r="CG40" i="2" s="1"/>
  <c r="CH40" i="2" s="1"/>
  <c r="CI40" i="2" s="1"/>
  <c r="CJ40" i="2" s="1"/>
  <c r="CK40" i="2" s="1"/>
  <c r="CL40" i="2" s="1"/>
  <c r="CM40" i="2" s="1"/>
  <c r="CN40" i="2" s="1"/>
  <c r="CO40" i="2" s="1"/>
  <c r="CP40" i="2" s="1"/>
  <c r="CQ40" i="2" s="1"/>
  <c r="CR40" i="2" s="1"/>
  <c r="CS40" i="2" s="1"/>
  <c r="CT40" i="2" s="1"/>
  <c r="CU40" i="2" s="1"/>
  <c r="CV40" i="2" s="1"/>
  <c r="CW40" i="2" s="1"/>
  <c r="CX40" i="2" s="1"/>
  <c r="CY40" i="2" s="1"/>
  <c r="BW41" i="2"/>
  <c r="BX41" i="2" s="1"/>
  <c r="BY41" i="2" s="1"/>
  <c r="BZ41" i="2" s="1"/>
  <c r="CA41" i="2" s="1"/>
  <c r="CB41" i="2" s="1"/>
  <c r="CC41" i="2" s="1"/>
  <c r="CD41" i="2" s="1"/>
  <c r="CE41" i="2" s="1"/>
  <c r="CF41" i="2" s="1"/>
  <c r="CG41" i="2" s="1"/>
  <c r="CH41" i="2" s="1"/>
  <c r="CI41" i="2" s="1"/>
  <c r="CJ41" i="2" s="1"/>
  <c r="CK41" i="2" s="1"/>
  <c r="CL41" i="2" s="1"/>
  <c r="CM41" i="2" s="1"/>
  <c r="CN41" i="2" s="1"/>
  <c r="CO41" i="2" s="1"/>
  <c r="CP41" i="2" s="1"/>
  <c r="CQ41" i="2" s="1"/>
  <c r="CR41" i="2" s="1"/>
  <c r="CS41" i="2" s="1"/>
  <c r="CT41" i="2" s="1"/>
  <c r="CU41" i="2" s="1"/>
  <c r="CV41" i="2" s="1"/>
  <c r="CW41" i="2" s="1"/>
  <c r="CX41" i="2" s="1"/>
  <c r="CY41" i="2" s="1"/>
  <c r="BW42" i="2"/>
  <c r="BX42" i="2" s="1"/>
  <c r="BY42" i="2" s="1"/>
  <c r="BZ42" i="2" s="1"/>
  <c r="CA42" i="2" s="1"/>
  <c r="CB42" i="2" s="1"/>
  <c r="CC42" i="2" s="1"/>
  <c r="CD42" i="2" s="1"/>
  <c r="CE42" i="2" s="1"/>
  <c r="CF42" i="2" s="1"/>
  <c r="CG42" i="2" s="1"/>
  <c r="CH42" i="2" s="1"/>
  <c r="CI42" i="2" s="1"/>
  <c r="CJ42" i="2" s="1"/>
  <c r="CK42" i="2" s="1"/>
  <c r="CL42" i="2" s="1"/>
  <c r="CM42" i="2" s="1"/>
  <c r="CN42" i="2" s="1"/>
  <c r="CO42" i="2" s="1"/>
  <c r="CP42" i="2" s="1"/>
  <c r="CQ42" i="2" s="1"/>
  <c r="CR42" i="2" s="1"/>
  <c r="CS42" i="2" s="1"/>
  <c r="CT42" i="2" s="1"/>
  <c r="CU42" i="2" s="1"/>
  <c r="CV42" i="2" s="1"/>
  <c r="CW42" i="2" s="1"/>
  <c r="CX42" i="2" s="1"/>
  <c r="CY42" i="2" s="1"/>
  <c r="BW43" i="2"/>
  <c r="BX43" i="2" s="1"/>
  <c r="BY43" i="2" s="1"/>
  <c r="BZ43" i="2" s="1"/>
  <c r="CA43" i="2" s="1"/>
  <c r="CB43" i="2" s="1"/>
  <c r="CC43" i="2" s="1"/>
  <c r="CD43" i="2" s="1"/>
  <c r="CE43" i="2" s="1"/>
  <c r="CF43" i="2" s="1"/>
  <c r="CG43" i="2" s="1"/>
  <c r="CH43" i="2" s="1"/>
  <c r="CI43" i="2" s="1"/>
  <c r="CJ43" i="2" s="1"/>
  <c r="CK43" i="2" s="1"/>
  <c r="CL43" i="2" s="1"/>
  <c r="CM43" i="2" s="1"/>
  <c r="CN43" i="2" s="1"/>
  <c r="CO43" i="2" s="1"/>
  <c r="CP43" i="2" s="1"/>
  <c r="CQ43" i="2" s="1"/>
  <c r="CR43" i="2" s="1"/>
  <c r="CS43" i="2" s="1"/>
  <c r="CT43" i="2" s="1"/>
  <c r="CU43" i="2" s="1"/>
  <c r="CV43" i="2" s="1"/>
  <c r="CW43" i="2" s="1"/>
  <c r="CX43" i="2" s="1"/>
  <c r="CY43" i="2" s="1"/>
  <c r="BW44" i="2"/>
  <c r="BX44" i="2" s="1"/>
  <c r="BY44" i="2" s="1"/>
  <c r="BZ44" i="2" s="1"/>
  <c r="CA44" i="2" s="1"/>
  <c r="CB44" i="2" s="1"/>
  <c r="CC44" i="2" s="1"/>
  <c r="CD44" i="2" s="1"/>
  <c r="CE44" i="2" s="1"/>
  <c r="CF44" i="2" s="1"/>
  <c r="CG44" i="2" s="1"/>
  <c r="CH44" i="2" s="1"/>
  <c r="CI44" i="2" s="1"/>
  <c r="CJ44" i="2" s="1"/>
  <c r="CK44" i="2" s="1"/>
  <c r="CL44" i="2" s="1"/>
  <c r="CM44" i="2" s="1"/>
  <c r="CN44" i="2" s="1"/>
  <c r="CO44" i="2" s="1"/>
  <c r="CP44" i="2" s="1"/>
  <c r="CQ44" i="2" s="1"/>
  <c r="CR44" i="2" s="1"/>
  <c r="CS44" i="2" s="1"/>
  <c r="CT44" i="2" s="1"/>
  <c r="CU44" i="2" s="1"/>
  <c r="CV44" i="2" s="1"/>
  <c r="CW44" i="2" s="1"/>
  <c r="CX44" i="2" s="1"/>
  <c r="CY44" i="2" s="1"/>
  <c r="BW45" i="2"/>
  <c r="BX45" i="2" s="1"/>
  <c r="BY45" i="2" s="1"/>
  <c r="BZ45" i="2" s="1"/>
  <c r="CA45" i="2" s="1"/>
  <c r="CB45" i="2" s="1"/>
  <c r="CC45" i="2" s="1"/>
  <c r="CD45" i="2" s="1"/>
  <c r="CE45" i="2" s="1"/>
  <c r="CF45" i="2" s="1"/>
  <c r="CG45" i="2" s="1"/>
  <c r="CH45" i="2" s="1"/>
  <c r="CI45" i="2" s="1"/>
  <c r="CJ45" i="2" s="1"/>
  <c r="CK45" i="2" s="1"/>
  <c r="CL45" i="2" s="1"/>
  <c r="CM45" i="2" s="1"/>
  <c r="CN45" i="2" s="1"/>
  <c r="CO45" i="2" s="1"/>
  <c r="CP45" i="2" s="1"/>
  <c r="CQ45" i="2" s="1"/>
  <c r="CR45" i="2" s="1"/>
  <c r="CS45" i="2" s="1"/>
  <c r="CT45" i="2" s="1"/>
  <c r="CU45" i="2" s="1"/>
  <c r="CV45" i="2" s="1"/>
  <c r="CW45" i="2" s="1"/>
  <c r="CX45" i="2" s="1"/>
  <c r="CY45" i="2" s="1"/>
  <c r="BW46" i="2"/>
  <c r="BX46" i="2" s="1"/>
  <c r="BY46" i="2" s="1"/>
  <c r="BZ46" i="2" s="1"/>
  <c r="CA46" i="2" s="1"/>
  <c r="CB46" i="2" s="1"/>
  <c r="CC46" i="2" s="1"/>
  <c r="CD46" i="2" s="1"/>
  <c r="CE46" i="2" s="1"/>
  <c r="CF46" i="2" s="1"/>
  <c r="CG46" i="2" s="1"/>
  <c r="CH46" i="2" s="1"/>
  <c r="CI46" i="2" s="1"/>
  <c r="CJ46" i="2" s="1"/>
  <c r="CK46" i="2" s="1"/>
  <c r="CL46" i="2" s="1"/>
  <c r="CM46" i="2" s="1"/>
  <c r="CN46" i="2" s="1"/>
  <c r="CO46" i="2" s="1"/>
  <c r="CP46" i="2" s="1"/>
  <c r="CQ46" i="2" s="1"/>
  <c r="CR46" i="2" s="1"/>
  <c r="CS46" i="2" s="1"/>
  <c r="CT46" i="2" s="1"/>
  <c r="CU46" i="2" s="1"/>
  <c r="CV46" i="2" s="1"/>
  <c r="CW46" i="2" s="1"/>
  <c r="CX46" i="2" s="1"/>
  <c r="CY46" i="2" s="1"/>
  <c r="BW47" i="2"/>
  <c r="BX47" i="2" s="1"/>
  <c r="BY47" i="2" s="1"/>
  <c r="BZ47" i="2" s="1"/>
  <c r="CA47" i="2" s="1"/>
  <c r="CB47" i="2" s="1"/>
  <c r="CC47" i="2" s="1"/>
  <c r="CD47" i="2" s="1"/>
  <c r="CE47" i="2" s="1"/>
  <c r="CF47" i="2" s="1"/>
  <c r="CG47" i="2" s="1"/>
  <c r="CH47" i="2" s="1"/>
  <c r="CI47" i="2" s="1"/>
  <c r="CJ47" i="2" s="1"/>
  <c r="CK47" i="2" s="1"/>
  <c r="CL47" i="2" s="1"/>
  <c r="CM47" i="2" s="1"/>
  <c r="CN47" i="2" s="1"/>
  <c r="CO47" i="2" s="1"/>
  <c r="CP47" i="2" s="1"/>
  <c r="CQ47" i="2" s="1"/>
  <c r="CR47" i="2" s="1"/>
  <c r="CS47" i="2" s="1"/>
  <c r="CT47" i="2" s="1"/>
  <c r="CU47" i="2" s="1"/>
  <c r="CV47" i="2" s="1"/>
  <c r="CW47" i="2" s="1"/>
  <c r="CX47" i="2" s="1"/>
  <c r="CY47" i="2" s="1"/>
  <c r="BW48" i="2"/>
  <c r="BW49" i="2"/>
  <c r="BX49" i="2" s="1"/>
  <c r="BY49" i="2" s="1"/>
  <c r="BZ49" i="2" s="1"/>
  <c r="CA49" i="2" s="1"/>
  <c r="CB49" i="2" s="1"/>
  <c r="CC49" i="2" s="1"/>
  <c r="CD49" i="2" s="1"/>
  <c r="CE49" i="2" s="1"/>
  <c r="CF49" i="2" s="1"/>
  <c r="CG49" i="2" s="1"/>
  <c r="CH49" i="2" s="1"/>
  <c r="CI49" i="2" s="1"/>
  <c r="CJ49" i="2" s="1"/>
  <c r="CK49" i="2" s="1"/>
  <c r="CL49" i="2" s="1"/>
  <c r="CM49" i="2" s="1"/>
  <c r="CN49" i="2" s="1"/>
  <c r="CO49" i="2" s="1"/>
  <c r="CP49" i="2" s="1"/>
  <c r="CQ49" i="2" s="1"/>
  <c r="CR49" i="2" s="1"/>
  <c r="CS49" i="2" s="1"/>
  <c r="CT49" i="2" s="1"/>
  <c r="CU49" i="2" s="1"/>
  <c r="CV49" i="2" s="1"/>
  <c r="CW49" i="2" s="1"/>
  <c r="CX49" i="2" s="1"/>
  <c r="CY49" i="2" s="1"/>
  <c r="BW50" i="2"/>
  <c r="BX50" i="2" s="1"/>
  <c r="BY50" i="2" s="1"/>
  <c r="BZ50" i="2" s="1"/>
  <c r="CA50" i="2" s="1"/>
  <c r="CB50" i="2" s="1"/>
  <c r="CC50" i="2" s="1"/>
  <c r="CD50" i="2" s="1"/>
  <c r="CE50" i="2" s="1"/>
  <c r="CF50" i="2" s="1"/>
  <c r="CG50" i="2" s="1"/>
  <c r="CH50" i="2" s="1"/>
  <c r="CI50" i="2" s="1"/>
  <c r="CJ50" i="2" s="1"/>
  <c r="CK50" i="2" s="1"/>
  <c r="CL50" i="2" s="1"/>
  <c r="CM50" i="2" s="1"/>
  <c r="CN50" i="2" s="1"/>
  <c r="CO50" i="2" s="1"/>
  <c r="CP50" i="2" s="1"/>
  <c r="CQ50" i="2" s="1"/>
  <c r="CR50" i="2" s="1"/>
  <c r="CS50" i="2" s="1"/>
  <c r="CT50" i="2" s="1"/>
  <c r="CU50" i="2" s="1"/>
  <c r="CV50" i="2" s="1"/>
  <c r="CW50" i="2" s="1"/>
  <c r="CX50" i="2" s="1"/>
  <c r="CY50" i="2" s="1"/>
  <c r="BW51" i="2"/>
  <c r="BX51" i="2" s="1"/>
  <c r="BY51" i="2" s="1"/>
  <c r="BZ51" i="2" s="1"/>
  <c r="CA51" i="2" s="1"/>
  <c r="CB51" i="2" s="1"/>
  <c r="CC51" i="2" s="1"/>
  <c r="CD51" i="2" s="1"/>
  <c r="CE51" i="2" s="1"/>
  <c r="CF51" i="2" s="1"/>
  <c r="CG51" i="2" s="1"/>
  <c r="CH51" i="2" s="1"/>
  <c r="CI51" i="2" s="1"/>
  <c r="CJ51" i="2" s="1"/>
  <c r="CK51" i="2" s="1"/>
  <c r="CL51" i="2" s="1"/>
  <c r="CM51" i="2" s="1"/>
  <c r="CN51" i="2" s="1"/>
  <c r="CO51" i="2" s="1"/>
  <c r="CP51" i="2" s="1"/>
  <c r="CQ51" i="2" s="1"/>
  <c r="CR51" i="2" s="1"/>
  <c r="CS51" i="2" s="1"/>
  <c r="CT51" i="2" s="1"/>
  <c r="CU51" i="2" s="1"/>
  <c r="CV51" i="2" s="1"/>
  <c r="CW51" i="2" s="1"/>
  <c r="CX51" i="2" s="1"/>
  <c r="CY51" i="2" s="1"/>
  <c r="BW52" i="2"/>
  <c r="BX52" i="2" s="1"/>
  <c r="BY52" i="2" s="1"/>
  <c r="BZ52" i="2" s="1"/>
  <c r="CA52" i="2" s="1"/>
  <c r="CB52" i="2" s="1"/>
  <c r="CC52" i="2" s="1"/>
  <c r="CD52" i="2" s="1"/>
  <c r="CE52" i="2" s="1"/>
  <c r="CF52" i="2" s="1"/>
  <c r="CG52" i="2" s="1"/>
  <c r="CH52" i="2" s="1"/>
  <c r="CI52" i="2" s="1"/>
  <c r="CJ52" i="2" s="1"/>
  <c r="CK52" i="2" s="1"/>
  <c r="CL52" i="2" s="1"/>
  <c r="CM52" i="2" s="1"/>
  <c r="CN52" i="2" s="1"/>
  <c r="CO52" i="2" s="1"/>
  <c r="CP52" i="2" s="1"/>
  <c r="CQ52" i="2" s="1"/>
  <c r="CR52" i="2" s="1"/>
  <c r="CS52" i="2" s="1"/>
  <c r="CT52" i="2" s="1"/>
  <c r="CU52" i="2" s="1"/>
  <c r="CV52" i="2" s="1"/>
  <c r="CW52" i="2" s="1"/>
  <c r="CX52" i="2" s="1"/>
  <c r="CY52" i="2" s="1"/>
  <c r="BW53" i="2"/>
  <c r="BX53" i="2" s="1"/>
  <c r="BY53" i="2" s="1"/>
  <c r="BZ53" i="2" s="1"/>
  <c r="CA53" i="2" s="1"/>
  <c r="CB53" i="2" s="1"/>
  <c r="CC53" i="2" s="1"/>
  <c r="CD53" i="2" s="1"/>
  <c r="CE53" i="2" s="1"/>
  <c r="CF53" i="2" s="1"/>
  <c r="CG53" i="2" s="1"/>
  <c r="CH53" i="2" s="1"/>
  <c r="CI53" i="2" s="1"/>
  <c r="CJ53" i="2" s="1"/>
  <c r="CK53" i="2" s="1"/>
  <c r="CL53" i="2" s="1"/>
  <c r="CM53" i="2" s="1"/>
  <c r="CN53" i="2" s="1"/>
  <c r="CO53" i="2" s="1"/>
  <c r="CP53" i="2" s="1"/>
  <c r="CQ53" i="2" s="1"/>
  <c r="CR53" i="2" s="1"/>
  <c r="CS53" i="2" s="1"/>
  <c r="CT53" i="2" s="1"/>
  <c r="CU53" i="2" s="1"/>
  <c r="CV53" i="2" s="1"/>
  <c r="CW53" i="2" s="1"/>
  <c r="CX53" i="2" s="1"/>
  <c r="CY53" i="2" s="1"/>
  <c r="BW54" i="2"/>
  <c r="BW55" i="2"/>
  <c r="BX55" i="2" s="1"/>
  <c r="BY55" i="2" s="1"/>
  <c r="BZ55" i="2" s="1"/>
  <c r="CA55" i="2" s="1"/>
  <c r="CB55" i="2" s="1"/>
  <c r="CC55" i="2" s="1"/>
  <c r="CD55" i="2" s="1"/>
  <c r="CE55" i="2" s="1"/>
  <c r="CF55" i="2" s="1"/>
  <c r="CG55" i="2" s="1"/>
  <c r="CH55" i="2" s="1"/>
  <c r="CI55" i="2" s="1"/>
  <c r="CJ55" i="2" s="1"/>
  <c r="CK55" i="2" s="1"/>
  <c r="CL55" i="2" s="1"/>
  <c r="CM55" i="2" s="1"/>
  <c r="CN55" i="2" s="1"/>
  <c r="CO55" i="2" s="1"/>
  <c r="CP55" i="2" s="1"/>
  <c r="CQ55" i="2" s="1"/>
  <c r="CR55" i="2" s="1"/>
  <c r="CS55" i="2" s="1"/>
  <c r="CT55" i="2" s="1"/>
  <c r="CU55" i="2" s="1"/>
  <c r="CV55" i="2" s="1"/>
  <c r="CW55" i="2" s="1"/>
  <c r="CX55" i="2" s="1"/>
  <c r="CY55" i="2" s="1"/>
  <c r="BW56" i="2"/>
  <c r="BX56" i="2" s="1"/>
  <c r="BY56" i="2" s="1"/>
  <c r="BZ56" i="2" s="1"/>
  <c r="CA56" i="2" s="1"/>
  <c r="CB56" i="2" s="1"/>
  <c r="CC56" i="2" s="1"/>
  <c r="CD56" i="2" s="1"/>
  <c r="CE56" i="2" s="1"/>
  <c r="CF56" i="2" s="1"/>
  <c r="CG56" i="2" s="1"/>
  <c r="CH56" i="2" s="1"/>
  <c r="CI56" i="2" s="1"/>
  <c r="CJ56" i="2" s="1"/>
  <c r="CK56" i="2" s="1"/>
  <c r="CL56" i="2" s="1"/>
  <c r="CM56" i="2" s="1"/>
  <c r="CN56" i="2" s="1"/>
  <c r="CO56" i="2" s="1"/>
  <c r="CP56" i="2" s="1"/>
  <c r="CQ56" i="2" s="1"/>
  <c r="CR56" i="2" s="1"/>
  <c r="CS56" i="2" s="1"/>
  <c r="CT56" i="2" s="1"/>
  <c r="CU56" i="2" s="1"/>
  <c r="CV56" i="2" s="1"/>
  <c r="CW56" i="2" s="1"/>
  <c r="CX56" i="2" s="1"/>
  <c r="CY56" i="2" s="1"/>
  <c r="BW57" i="2"/>
  <c r="BX57" i="2" s="1"/>
  <c r="BY57" i="2" s="1"/>
  <c r="BZ57" i="2" s="1"/>
  <c r="CA57" i="2" s="1"/>
  <c r="CB57" i="2" s="1"/>
  <c r="CC57" i="2" s="1"/>
  <c r="CD57" i="2" s="1"/>
  <c r="CE57" i="2" s="1"/>
  <c r="CF57" i="2" s="1"/>
  <c r="CG57" i="2" s="1"/>
  <c r="CH57" i="2" s="1"/>
  <c r="CI57" i="2" s="1"/>
  <c r="CJ57" i="2" s="1"/>
  <c r="CK57" i="2" s="1"/>
  <c r="CL57" i="2" s="1"/>
  <c r="CM57" i="2" s="1"/>
  <c r="CN57" i="2" s="1"/>
  <c r="CO57" i="2" s="1"/>
  <c r="CP57" i="2" s="1"/>
  <c r="CQ57" i="2" s="1"/>
  <c r="CR57" i="2" s="1"/>
  <c r="CS57" i="2" s="1"/>
  <c r="CT57" i="2" s="1"/>
  <c r="CU57" i="2" s="1"/>
  <c r="CV57" i="2" s="1"/>
  <c r="CW57" i="2" s="1"/>
  <c r="CX57" i="2" s="1"/>
  <c r="CY57" i="2" s="1"/>
  <c r="BW58" i="2"/>
  <c r="BX58" i="2" s="1"/>
  <c r="BY58" i="2" s="1"/>
  <c r="BZ58" i="2" s="1"/>
  <c r="CA58" i="2" s="1"/>
  <c r="CB58" i="2" s="1"/>
  <c r="CC58" i="2" s="1"/>
  <c r="CD58" i="2" s="1"/>
  <c r="CE58" i="2" s="1"/>
  <c r="CF58" i="2" s="1"/>
  <c r="CG58" i="2" s="1"/>
  <c r="CH58" i="2" s="1"/>
  <c r="CI58" i="2" s="1"/>
  <c r="CJ58" i="2" s="1"/>
  <c r="CK58" i="2" s="1"/>
  <c r="CL58" i="2" s="1"/>
  <c r="CM58" i="2" s="1"/>
  <c r="CN58" i="2" s="1"/>
  <c r="CO58" i="2" s="1"/>
  <c r="CP58" i="2" s="1"/>
  <c r="CQ58" i="2" s="1"/>
  <c r="CR58" i="2" s="1"/>
  <c r="CS58" i="2" s="1"/>
  <c r="CT58" i="2" s="1"/>
  <c r="CU58" i="2" s="1"/>
  <c r="CV58" i="2" s="1"/>
  <c r="CW58" i="2" s="1"/>
  <c r="CX58" i="2" s="1"/>
  <c r="CY58" i="2" s="1"/>
  <c r="BW59" i="2"/>
  <c r="BW60" i="2"/>
  <c r="BX60" i="2" s="1"/>
  <c r="BY60" i="2" s="1"/>
  <c r="BZ60" i="2" s="1"/>
  <c r="CA60" i="2" s="1"/>
  <c r="CB60" i="2" s="1"/>
  <c r="CC60" i="2" s="1"/>
  <c r="CD60" i="2" s="1"/>
  <c r="CE60" i="2" s="1"/>
  <c r="CF60" i="2" s="1"/>
  <c r="CG60" i="2" s="1"/>
  <c r="CH60" i="2" s="1"/>
  <c r="CI60" i="2" s="1"/>
  <c r="CJ60" i="2" s="1"/>
  <c r="CK60" i="2" s="1"/>
  <c r="CL60" i="2" s="1"/>
  <c r="CM60" i="2" s="1"/>
  <c r="CN60" i="2" s="1"/>
  <c r="CO60" i="2" s="1"/>
  <c r="CP60" i="2" s="1"/>
  <c r="CQ60" i="2" s="1"/>
  <c r="CR60" i="2" s="1"/>
  <c r="CS60" i="2" s="1"/>
  <c r="CT60" i="2" s="1"/>
  <c r="CU60" i="2" s="1"/>
  <c r="CV60" i="2" s="1"/>
  <c r="CW60" i="2" s="1"/>
  <c r="CX60" i="2" s="1"/>
  <c r="CY60" i="2" s="1"/>
  <c r="BW61" i="2"/>
  <c r="BX61" i="2" s="1"/>
  <c r="BY61" i="2" s="1"/>
  <c r="BZ61" i="2" s="1"/>
  <c r="CA61" i="2" s="1"/>
  <c r="CB61" i="2" s="1"/>
  <c r="CC61" i="2" s="1"/>
  <c r="CD61" i="2" s="1"/>
  <c r="CE61" i="2" s="1"/>
  <c r="CF61" i="2" s="1"/>
  <c r="CG61" i="2" s="1"/>
  <c r="CH61" i="2" s="1"/>
  <c r="CI61" i="2" s="1"/>
  <c r="CJ61" i="2" s="1"/>
  <c r="CK61" i="2" s="1"/>
  <c r="CL61" i="2" s="1"/>
  <c r="CM61" i="2" s="1"/>
  <c r="CN61" i="2" s="1"/>
  <c r="CO61" i="2" s="1"/>
  <c r="CP61" i="2" s="1"/>
  <c r="CQ61" i="2" s="1"/>
  <c r="CR61" i="2" s="1"/>
  <c r="CS61" i="2" s="1"/>
  <c r="CT61" i="2" s="1"/>
  <c r="CU61" i="2" s="1"/>
  <c r="CV61" i="2" s="1"/>
  <c r="CW61" i="2" s="1"/>
  <c r="CX61" i="2" s="1"/>
  <c r="CY61" i="2" s="1"/>
  <c r="BW62" i="2"/>
  <c r="BX62" i="2" s="1"/>
  <c r="BY62" i="2" s="1"/>
  <c r="BZ62" i="2" s="1"/>
  <c r="CA62" i="2" s="1"/>
  <c r="CB62" i="2" s="1"/>
  <c r="CC62" i="2" s="1"/>
  <c r="CD62" i="2" s="1"/>
  <c r="CE62" i="2" s="1"/>
  <c r="CF62" i="2" s="1"/>
  <c r="CG62" i="2" s="1"/>
  <c r="CH62" i="2" s="1"/>
  <c r="CI62" i="2" s="1"/>
  <c r="CJ62" i="2" s="1"/>
  <c r="CK62" i="2" s="1"/>
  <c r="CL62" i="2" s="1"/>
  <c r="CM62" i="2" s="1"/>
  <c r="CN62" i="2" s="1"/>
  <c r="CO62" i="2" s="1"/>
  <c r="CP62" i="2" s="1"/>
  <c r="CQ62" i="2" s="1"/>
  <c r="CR62" i="2" s="1"/>
  <c r="CS62" i="2" s="1"/>
  <c r="CT62" i="2" s="1"/>
  <c r="CU62" i="2" s="1"/>
  <c r="CV62" i="2" s="1"/>
  <c r="CW62" i="2" s="1"/>
  <c r="CX62" i="2" s="1"/>
  <c r="CY62" i="2" s="1"/>
  <c r="BW63" i="2"/>
  <c r="BX63" i="2" s="1"/>
  <c r="BY63" i="2" s="1"/>
  <c r="BZ63" i="2" s="1"/>
  <c r="CA63" i="2" s="1"/>
  <c r="CB63" i="2" s="1"/>
  <c r="CC63" i="2" s="1"/>
  <c r="CD63" i="2" s="1"/>
  <c r="CE63" i="2" s="1"/>
  <c r="CF63" i="2" s="1"/>
  <c r="CG63" i="2" s="1"/>
  <c r="CH63" i="2" s="1"/>
  <c r="CI63" i="2" s="1"/>
  <c r="CJ63" i="2" s="1"/>
  <c r="CK63" i="2" s="1"/>
  <c r="CL63" i="2" s="1"/>
  <c r="CM63" i="2" s="1"/>
  <c r="CN63" i="2" s="1"/>
  <c r="CO63" i="2" s="1"/>
  <c r="CP63" i="2" s="1"/>
  <c r="CQ63" i="2" s="1"/>
  <c r="CR63" i="2" s="1"/>
  <c r="CS63" i="2" s="1"/>
  <c r="CT63" i="2" s="1"/>
  <c r="CU63" i="2" s="1"/>
  <c r="CV63" i="2" s="1"/>
  <c r="CW63" i="2" s="1"/>
  <c r="CX63" i="2" s="1"/>
  <c r="CY63" i="2" s="1"/>
  <c r="BW64" i="2"/>
  <c r="BW65" i="2"/>
  <c r="BX65" i="2" s="1"/>
  <c r="BY65" i="2" s="1"/>
  <c r="BZ65" i="2" s="1"/>
  <c r="CA65" i="2" s="1"/>
  <c r="CB65" i="2" s="1"/>
  <c r="CC65" i="2" s="1"/>
  <c r="CD65" i="2" s="1"/>
  <c r="CE65" i="2" s="1"/>
  <c r="CF65" i="2" s="1"/>
  <c r="CG65" i="2" s="1"/>
  <c r="CH65" i="2" s="1"/>
  <c r="CI65" i="2" s="1"/>
  <c r="CJ65" i="2" s="1"/>
  <c r="CK65" i="2" s="1"/>
  <c r="CL65" i="2" s="1"/>
  <c r="CM65" i="2" s="1"/>
  <c r="CN65" i="2" s="1"/>
  <c r="CO65" i="2" s="1"/>
  <c r="CP65" i="2" s="1"/>
  <c r="CQ65" i="2" s="1"/>
  <c r="CR65" i="2" s="1"/>
  <c r="CS65" i="2" s="1"/>
  <c r="CT65" i="2" s="1"/>
  <c r="CU65" i="2" s="1"/>
  <c r="CV65" i="2" s="1"/>
  <c r="CW65" i="2" s="1"/>
  <c r="CX65" i="2" s="1"/>
  <c r="CY65" i="2" s="1"/>
  <c r="BW66" i="2"/>
  <c r="BX66" i="2" s="1"/>
  <c r="BY66" i="2" s="1"/>
  <c r="BZ66" i="2" s="1"/>
  <c r="CA66" i="2" s="1"/>
  <c r="CB66" i="2" s="1"/>
  <c r="CC66" i="2" s="1"/>
  <c r="CD66" i="2" s="1"/>
  <c r="CE66" i="2" s="1"/>
  <c r="CF66" i="2" s="1"/>
  <c r="CG66" i="2" s="1"/>
  <c r="CH66" i="2" s="1"/>
  <c r="CI66" i="2" s="1"/>
  <c r="CJ66" i="2" s="1"/>
  <c r="CK66" i="2" s="1"/>
  <c r="CL66" i="2" s="1"/>
  <c r="CM66" i="2" s="1"/>
  <c r="CN66" i="2" s="1"/>
  <c r="CO66" i="2" s="1"/>
  <c r="CP66" i="2" s="1"/>
  <c r="CQ66" i="2" s="1"/>
  <c r="CR66" i="2" s="1"/>
  <c r="CS66" i="2" s="1"/>
  <c r="CT66" i="2" s="1"/>
  <c r="CU66" i="2" s="1"/>
  <c r="CV66" i="2" s="1"/>
  <c r="CW66" i="2" s="1"/>
  <c r="CX66" i="2" s="1"/>
  <c r="CY66" i="2" s="1"/>
  <c r="C24" i="2"/>
  <c r="C23" i="2"/>
  <c r="C22" i="2"/>
  <c r="C20" i="2"/>
  <c r="C18" i="2"/>
  <c r="C19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53" i="2"/>
  <c r="DC54" i="2"/>
  <c r="DC55" i="2"/>
  <c r="DC56" i="2"/>
  <c r="DC57" i="2"/>
  <c r="DC58" i="2"/>
  <c r="DC59" i="2"/>
  <c r="DC60" i="2"/>
  <c r="DC61" i="2"/>
  <c r="DC62" i="2"/>
  <c r="DC63" i="2"/>
  <c r="DC64" i="2"/>
  <c r="DC65" i="2"/>
  <c r="DC66" i="2"/>
  <c r="DC37" i="2"/>
  <c r="AO38" i="2"/>
  <c r="AO54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G69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7" i="2"/>
  <c r="G4" i="2"/>
  <c r="AO37" i="2" s="1"/>
  <c r="G5" i="2"/>
  <c r="G6" i="2"/>
  <c r="AO39" i="2" s="1"/>
  <c r="G7" i="2"/>
  <c r="AO40" i="2" s="1"/>
  <c r="G8" i="2"/>
  <c r="AO41" i="2" s="1"/>
  <c r="G9" i="2"/>
  <c r="AO42" i="2" s="1"/>
  <c r="G10" i="2"/>
  <c r="AO43" i="2" s="1"/>
  <c r="G11" i="2"/>
  <c r="AO44" i="2" s="1"/>
  <c r="G12" i="2"/>
  <c r="AO45" i="2" s="1"/>
  <c r="G13" i="2"/>
  <c r="AO46" i="2" s="1"/>
  <c r="G14" i="2"/>
  <c r="AO47" i="2" s="1"/>
  <c r="G15" i="2"/>
  <c r="AO48" i="2" s="1"/>
  <c r="G16" i="2"/>
  <c r="AO49" i="2" s="1"/>
  <c r="G17" i="2"/>
  <c r="AO50" i="2" s="1"/>
  <c r="G18" i="2"/>
  <c r="AO51" i="2" s="1"/>
  <c r="G19" i="2"/>
  <c r="AO52" i="2" s="1"/>
  <c r="G20" i="2"/>
  <c r="AO53" i="2" s="1"/>
  <c r="G21" i="2"/>
  <c r="G22" i="2"/>
  <c r="AO55" i="2" s="1"/>
  <c r="G23" i="2"/>
  <c r="AO56" i="2" s="1"/>
  <c r="G24" i="2"/>
  <c r="AO57" i="2" s="1"/>
  <c r="G25" i="2"/>
  <c r="AO58" i="2" s="1"/>
  <c r="G26" i="2"/>
  <c r="AO59" i="2" s="1"/>
  <c r="G27" i="2"/>
  <c r="AO60" i="2" s="1"/>
  <c r="G28" i="2"/>
  <c r="AO61" i="2" s="1"/>
  <c r="G29" i="2"/>
  <c r="AO62" i="2" s="1"/>
  <c r="G30" i="2"/>
  <c r="AO63" i="2" s="1"/>
  <c r="G31" i="2"/>
  <c r="AO64" i="2" s="1"/>
  <c r="G32" i="2"/>
  <c r="AO65" i="2" s="1"/>
  <c r="G33" i="2"/>
  <c r="AO66" i="2" s="1"/>
  <c r="C6" i="2"/>
  <c r="C5" i="2"/>
  <c r="DE37" i="2" l="1"/>
  <c r="DF37" i="2" s="1"/>
  <c r="DG37" i="2" s="1"/>
  <c r="DH37" i="2" s="1"/>
  <c r="DI37" i="2" s="1"/>
  <c r="DJ37" i="2" s="1"/>
  <c r="DK37" i="2" s="1"/>
  <c r="DL37" i="2" s="1"/>
  <c r="DM37" i="2" s="1"/>
  <c r="DN37" i="2" s="1"/>
  <c r="DO37" i="2" s="1"/>
  <c r="DP37" i="2" s="1"/>
  <c r="DQ37" i="2" s="1"/>
  <c r="DR37" i="2" s="1"/>
  <c r="DS37" i="2" s="1"/>
  <c r="DT37" i="2" s="1"/>
  <c r="DU37" i="2" s="1"/>
  <c r="DV37" i="2" s="1"/>
  <c r="DW37" i="2" s="1"/>
  <c r="DX37" i="2" s="1"/>
  <c r="DY37" i="2" s="1"/>
  <c r="DZ37" i="2" s="1"/>
  <c r="EA37" i="2" s="1"/>
  <c r="EB37" i="2" s="1"/>
  <c r="EC37" i="2" s="1"/>
  <c r="ED37" i="2" s="1"/>
  <c r="EE37" i="2" s="1"/>
  <c r="DE47" i="2"/>
  <c r="DF47" i="2" s="1"/>
  <c r="DG47" i="2" s="1"/>
  <c r="DH47" i="2" s="1"/>
  <c r="DI47" i="2" s="1"/>
  <c r="DJ47" i="2" s="1"/>
  <c r="DK47" i="2" s="1"/>
  <c r="DL47" i="2" s="1"/>
  <c r="DM47" i="2" s="1"/>
  <c r="DN47" i="2" s="1"/>
  <c r="DO47" i="2" s="1"/>
  <c r="DP47" i="2" s="1"/>
  <c r="DQ47" i="2" s="1"/>
  <c r="DR47" i="2" s="1"/>
  <c r="DS47" i="2" s="1"/>
  <c r="DT47" i="2" s="1"/>
  <c r="DU47" i="2" s="1"/>
  <c r="DV47" i="2" s="1"/>
  <c r="DW47" i="2" s="1"/>
  <c r="DX47" i="2" s="1"/>
  <c r="DY47" i="2" s="1"/>
  <c r="DZ47" i="2" s="1"/>
  <c r="EA47" i="2" s="1"/>
  <c r="EB47" i="2" s="1"/>
  <c r="EC47" i="2" s="1"/>
  <c r="ED47" i="2" s="1"/>
  <c r="EE47" i="2" s="1"/>
  <c r="DE39" i="2"/>
  <c r="DF39" i="2" s="1"/>
  <c r="DG39" i="2" s="1"/>
  <c r="DH39" i="2" s="1"/>
  <c r="DI39" i="2" s="1"/>
  <c r="DJ39" i="2" s="1"/>
  <c r="DK39" i="2" s="1"/>
  <c r="DL39" i="2" s="1"/>
  <c r="DM39" i="2" s="1"/>
  <c r="DN39" i="2" s="1"/>
  <c r="DO39" i="2" s="1"/>
  <c r="DP39" i="2" s="1"/>
  <c r="DQ39" i="2" s="1"/>
  <c r="DR39" i="2" s="1"/>
  <c r="DS39" i="2" s="1"/>
  <c r="DT39" i="2" s="1"/>
  <c r="DU39" i="2" s="1"/>
  <c r="DV39" i="2" s="1"/>
  <c r="DW39" i="2" s="1"/>
  <c r="DX39" i="2" s="1"/>
  <c r="DY39" i="2" s="1"/>
  <c r="DZ39" i="2" s="1"/>
  <c r="EA39" i="2" s="1"/>
  <c r="EB39" i="2" s="1"/>
  <c r="EC39" i="2" s="1"/>
  <c r="ED39" i="2" s="1"/>
  <c r="EE39" i="2" s="1"/>
  <c r="DE61" i="2"/>
  <c r="DF61" i="2" s="1"/>
  <c r="DG61" i="2" s="1"/>
  <c r="DH61" i="2" s="1"/>
  <c r="DI61" i="2" s="1"/>
  <c r="DJ61" i="2" s="1"/>
  <c r="DK61" i="2" s="1"/>
  <c r="DL61" i="2" s="1"/>
  <c r="DM61" i="2" s="1"/>
  <c r="DN61" i="2" s="1"/>
  <c r="DO61" i="2" s="1"/>
  <c r="DP61" i="2" s="1"/>
  <c r="DQ61" i="2" s="1"/>
  <c r="DR61" i="2" s="1"/>
  <c r="DS61" i="2" s="1"/>
  <c r="DT61" i="2" s="1"/>
  <c r="DU61" i="2" s="1"/>
  <c r="DV61" i="2" s="1"/>
  <c r="DW61" i="2" s="1"/>
  <c r="DX61" i="2" s="1"/>
  <c r="DY61" i="2" s="1"/>
  <c r="DZ61" i="2" s="1"/>
  <c r="EA61" i="2" s="1"/>
  <c r="EB61" i="2" s="1"/>
  <c r="EC61" i="2" s="1"/>
  <c r="ED61" i="2" s="1"/>
  <c r="EE61" i="2" s="1"/>
  <c r="DE53" i="2"/>
  <c r="DF53" i="2" s="1"/>
  <c r="DG53" i="2" s="1"/>
  <c r="DH53" i="2" s="1"/>
  <c r="DI53" i="2" s="1"/>
  <c r="DJ53" i="2" s="1"/>
  <c r="DK53" i="2" s="1"/>
  <c r="DL53" i="2" s="1"/>
  <c r="DM53" i="2" s="1"/>
  <c r="DN53" i="2" s="1"/>
  <c r="DO53" i="2" s="1"/>
  <c r="DP53" i="2" s="1"/>
  <c r="DQ53" i="2" s="1"/>
  <c r="DR53" i="2" s="1"/>
  <c r="DS53" i="2" s="1"/>
  <c r="DT53" i="2" s="1"/>
  <c r="DU53" i="2" s="1"/>
  <c r="DV53" i="2" s="1"/>
  <c r="DW53" i="2" s="1"/>
  <c r="DX53" i="2" s="1"/>
  <c r="DY53" i="2" s="1"/>
  <c r="DZ53" i="2" s="1"/>
  <c r="EA53" i="2" s="1"/>
  <c r="EB53" i="2" s="1"/>
  <c r="EC53" i="2" s="1"/>
  <c r="ED53" i="2" s="1"/>
  <c r="EE53" i="2" s="1"/>
  <c r="DE45" i="2"/>
  <c r="DF45" i="2" s="1"/>
  <c r="DG45" i="2" s="1"/>
  <c r="DH45" i="2" s="1"/>
  <c r="DI45" i="2" s="1"/>
  <c r="DJ45" i="2" s="1"/>
  <c r="DK45" i="2" s="1"/>
  <c r="DL45" i="2" s="1"/>
  <c r="DM45" i="2" s="1"/>
  <c r="DN45" i="2" s="1"/>
  <c r="DO45" i="2" s="1"/>
  <c r="DP45" i="2" s="1"/>
  <c r="DQ45" i="2" s="1"/>
  <c r="DR45" i="2" s="1"/>
  <c r="DS45" i="2" s="1"/>
  <c r="DT45" i="2" s="1"/>
  <c r="DU45" i="2" s="1"/>
  <c r="DV45" i="2" s="1"/>
  <c r="DW45" i="2" s="1"/>
  <c r="DX45" i="2" s="1"/>
  <c r="DY45" i="2" s="1"/>
  <c r="DZ45" i="2" s="1"/>
  <c r="EA45" i="2" s="1"/>
  <c r="EB45" i="2" s="1"/>
  <c r="EC45" i="2" s="1"/>
  <c r="ED45" i="2" s="1"/>
  <c r="EE45" i="2" s="1"/>
  <c r="DE46" i="2"/>
  <c r="DF46" i="2" s="1"/>
  <c r="DG46" i="2" s="1"/>
  <c r="DH46" i="2" s="1"/>
  <c r="DI46" i="2" s="1"/>
  <c r="DJ46" i="2" s="1"/>
  <c r="DK46" i="2" s="1"/>
  <c r="DL46" i="2" s="1"/>
  <c r="DM46" i="2" s="1"/>
  <c r="DN46" i="2" s="1"/>
  <c r="DO46" i="2" s="1"/>
  <c r="DP46" i="2" s="1"/>
  <c r="DQ46" i="2" s="1"/>
  <c r="DR46" i="2" s="1"/>
  <c r="DS46" i="2" s="1"/>
  <c r="DT46" i="2" s="1"/>
  <c r="DU46" i="2" s="1"/>
  <c r="DV46" i="2" s="1"/>
  <c r="DW46" i="2" s="1"/>
  <c r="DX46" i="2" s="1"/>
  <c r="DY46" i="2" s="1"/>
  <c r="DZ46" i="2" s="1"/>
  <c r="EA46" i="2" s="1"/>
  <c r="EB46" i="2" s="1"/>
  <c r="EC46" i="2" s="1"/>
  <c r="ED46" i="2" s="1"/>
  <c r="EE46" i="2" s="1"/>
  <c r="DE38" i="2"/>
  <c r="DF38" i="2" s="1"/>
  <c r="DG38" i="2" s="1"/>
  <c r="DH38" i="2" s="1"/>
  <c r="DI38" i="2" s="1"/>
  <c r="DJ38" i="2" s="1"/>
  <c r="DK38" i="2" s="1"/>
  <c r="DL38" i="2" s="1"/>
  <c r="DM38" i="2" s="1"/>
  <c r="DN38" i="2" s="1"/>
  <c r="DO38" i="2" s="1"/>
  <c r="DP38" i="2" s="1"/>
  <c r="DQ38" i="2" s="1"/>
  <c r="DR38" i="2" s="1"/>
  <c r="DS38" i="2" s="1"/>
  <c r="DT38" i="2" s="1"/>
  <c r="DU38" i="2" s="1"/>
  <c r="DV38" i="2" s="1"/>
  <c r="DW38" i="2" s="1"/>
  <c r="DX38" i="2" s="1"/>
  <c r="DY38" i="2" s="1"/>
  <c r="DZ38" i="2" s="1"/>
  <c r="EA38" i="2" s="1"/>
  <c r="EB38" i="2" s="1"/>
  <c r="EC38" i="2" s="1"/>
  <c r="ED38" i="2" s="1"/>
  <c r="EE38" i="2" s="1"/>
  <c r="AI38" i="2" s="1"/>
  <c r="DE60" i="2"/>
  <c r="DF60" i="2" s="1"/>
  <c r="DG60" i="2" s="1"/>
  <c r="DH60" i="2" s="1"/>
  <c r="DI60" i="2" s="1"/>
  <c r="DJ60" i="2" s="1"/>
  <c r="DK60" i="2" s="1"/>
  <c r="DL60" i="2" s="1"/>
  <c r="DM60" i="2" s="1"/>
  <c r="DN60" i="2" s="1"/>
  <c r="DO60" i="2" s="1"/>
  <c r="DP60" i="2" s="1"/>
  <c r="DQ60" i="2" s="1"/>
  <c r="DR60" i="2" s="1"/>
  <c r="DS60" i="2" s="1"/>
  <c r="DT60" i="2" s="1"/>
  <c r="DU60" i="2" s="1"/>
  <c r="DV60" i="2" s="1"/>
  <c r="DW60" i="2" s="1"/>
  <c r="DX60" i="2" s="1"/>
  <c r="DY60" i="2" s="1"/>
  <c r="DZ60" i="2" s="1"/>
  <c r="EA60" i="2" s="1"/>
  <c r="EB60" i="2" s="1"/>
  <c r="EC60" i="2" s="1"/>
  <c r="ED60" i="2" s="1"/>
  <c r="EE60" i="2" s="1"/>
  <c r="DE52" i="2"/>
  <c r="DF52" i="2" s="1"/>
  <c r="DG52" i="2" s="1"/>
  <c r="DH52" i="2" s="1"/>
  <c r="DI52" i="2" s="1"/>
  <c r="DJ52" i="2" s="1"/>
  <c r="DK52" i="2" s="1"/>
  <c r="DL52" i="2" s="1"/>
  <c r="DM52" i="2" s="1"/>
  <c r="DN52" i="2" s="1"/>
  <c r="DO52" i="2" s="1"/>
  <c r="DP52" i="2" s="1"/>
  <c r="DQ52" i="2" s="1"/>
  <c r="DR52" i="2" s="1"/>
  <c r="DS52" i="2" s="1"/>
  <c r="DT52" i="2" s="1"/>
  <c r="DU52" i="2" s="1"/>
  <c r="DV52" i="2" s="1"/>
  <c r="DW52" i="2" s="1"/>
  <c r="DX52" i="2" s="1"/>
  <c r="DY52" i="2" s="1"/>
  <c r="DZ52" i="2" s="1"/>
  <c r="EA52" i="2" s="1"/>
  <c r="EB52" i="2" s="1"/>
  <c r="EC52" i="2" s="1"/>
  <c r="ED52" i="2" s="1"/>
  <c r="EE52" i="2" s="1"/>
  <c r="DE44" i="2"/>
  <c r="DF44" i="2" s="1"/>
  <c r="DG44" i="2" s="1"/>
  <c r="DH44" i="2" s="1"/>
  <c r="DI44" i="2" s="1"/>
  <c r="DJ44" i="2" s="1"/>
  <c r="DK44" i="2" s="1"/>
  <c r="DL44" i="2" s="1"/>
  <c r="DM44" i="2" s="1"/>
  <c r="DN44" i="2" s="1"/>
  <c r="DO44" i="2" s="1"/>
  <c r="DP44" i="2" s="1"/>
  <c r="DQ44" i="2" s="1"/>
  <c r="DR44" i="2" s="1"/>
  <c r="DS44" i="2" s="1"/>
  <c r="DT44" i="2" s="1"/>
  <c r="DU44" i="2" s="1"/>
  <c r="DV44" i="2" s="1"/>
  <c r="DW44" i="2" s="1"/>
  <c r="DX44" i="2" s="1"/>
  <c r="DY44" i="2" s="1"/>
  <c r="DZ44" i="2" s="1"/>
  <c r="EA44" i="2" s="1"/>
  <c r="EB44" i="2" s="1"/>
  <c r="EC44" i="2" s="1"/>
  <c r="ED44" i="2" s="1"/>
  <c r="EE44" i="2" s="1"/>
  <c r="DE63" i="2"/>
  <c r="DF63" i="2" s="1"/>
  <c r="DG63" i="2" s="1"/>
  <c r="DH63" i="2" s="1"/>
  <c r="DI63" i="2" s="1"/>
  <c r="DJ63" i="2" s="1"/>
  <c r="DK63" i="2" s="1"/>
  <c r="DL63" i="2" s="1"/>
  <c r="DM63" i="2" s="1"/>
  <c r="DN63" i="2" s="1"/>
  <c r="DO63" i="2" s="1"/>
  <c r="DP63" i="2" s="1"/>
  <c r="DQ63" i="2" s="1"/>
  <c r="DR63" i="2" s="1"/>
  <c r="DS63" i="2" s="1"/>
  <c r="DT63" i="2" s="1"/>
  <c r="DU63" i="2" s="1"/>
  <c r="DV63" i="2" s="1"/>
  <c r="DW63" i="2" s="1"/>
  <c r="DX63" i="2" s="1"/>
  <c r="DY63" i="2" s="1"/>
  <c r="DZ63" i="2" s="1"/>
  <c r="EA63" i="2" s="1"/>
  <c r="EB63" i="2" s="1"/>
  <c r="EC63" i="2" s="1"/>
  <c r="ED63" i="2" s="1"/>
  <c r="EE63" i="2" s="1"/>
  <c r="DE55" i="2"/>
  <c r="DF55" i="2" s="1"/>
  <c r="DG55" i="2" s="1"/>
  <c r="DH55" i="2" s="1"/>
  <c r="DI55" i="2" s="1"/>
  <c r="DJ55" i="2" s="1"/>
  <c r="DK55" i="2" s="1"/>
  <c r="DL55" i="2" s="1"/>
  <c r="DM55" i="2" s="1"/>
  <c r="DN55" i="2" s="1"/>
  <c r="DO55" i="2" s="1"/>
  <c r="DP55" i="2" s="1"/>
  <c r="DQ55" i="2" s="1"/>
  <c r="DR55" i="2" s="1"/>
  <c r="DS55" i="2" s="1"/>
  <c r="DT55" i="2" s="1"/>
  <c r="DU55" i="2" s="1"/>
  <c r="DV55" i="2" s="1"/>
  <c r="DW55" i="2" s="1"/>
  <c r="DX55" i="2" s="1"/>
  <c r="DY55" i="2" s="1"/>
  <c r="DZ55" i="2" s="1"/>
  <c r="EA55" i="2" s="1"/>
  <c r="EB55" i="2" s="1"/>
  <c r="EC55" i="2" s="1"/>
  <c r="ED55" i="2" s="1"/>
  <c r="EE55" i="2" s="1"/>
  <c r="DE64" i="2"/>
  <c r="DF64" i="2" s="1"/>
  <c r="DG64" i="2" s="1"/>
  <c r="DH64" i="2" s="1"/>
  <c r="DI64" i="2" s="1"/>
  <c r="DJ64" i="2" s="1"/>
  <c r="DK64" i="2" s="1"/>
  <c r="DL64" i="2" s="1"/>
  <c r="DM64" i="2" s="1"/>
  <c r="DN64" i="2" s="1"/>
  <c r="DO64" i="2" s="1"/>
  <c r="DP64" i="2" s="1"/>
  <c r="DQ64" i="2" s="1"/>
  <c r="DR64" i="2" s="1"/>
  <c r="DS64" i="2" s="1"/>
  <c r="DT64" i="2" s="1"/>
  <c r="DU64" i="2" s="1"/>
  <c r="DV64" i="2" s="1"/>
  <c r="DW64" i="2" s="1"/>
  <c r="DX64" i="2" s="1"/>
  <c r="DY64" i="2" s="1"/>
  <c r="DZ64" i="2" s="1"/>
  <c r="EA64" i="2" s="1"/>
  <c r="EB64" i="2" s="1"/>
  <c r="EC64" i="2" s="1"/>
  <c r="ED64" i="2" s="1"/>
  <c r="EE64" i="2" s="1"/>
  <c r="AI64" i="2" s="1"/>
  <c r="DE56" i="2"/>
  <c r="DF56" i="2" s="1"/>
  <c r="DG56" i="2" s="1"/>
  <c r="DH56" i="2" s="1"/>
  <c r="DI56" i="2" s="1"/>
  <c r="DJ56" i="2" s="1"/>
  <c r="DK56" i="2" s="1"/>
  <c r="DL56" i="2" s="1"/>
  <c r="DM56" i="2" s="1"/>
  <c r="DN56" i="2" s="1"/>
  <c r="DO56" i="2" s="1"/>
  <c r="DP56" i="2" s="1"/>
  <c r="DQ56" i="2" s="1"/>
  <c r="DR56" i="2" s="1"/>
  <c r="DS56" i="2" s="1"/>
  <c r="DT56" i="2" s="1"/>
  <c r="DU56" i="2" s="1"/>
  <c r="DV56" i="2" s="1"/>
  <c r="DW56" i="2" s="1"/>
  <c r="DX56" i="2" s="1"/>
  <c r="DY56" i="2" s="1"/>
  <c r="DZ56" i="2" s="1"/>
  <c r="EA56" i="2" s="1"/>
  <c r="EB56" i="2" s="1"/>
  <c r="EC56" i="2" s="1"/>
  <c r="ED56" i="2" s="1"/>
  <c r="EE56" i="2" s="1"/>
  <c r="EF56" i="2" s="1"/>
  <c r="DE48" i="2"/>
  <c r="DF48" i="2" s="1"/>
  <c r="DG48" i="2" s="1"/>
  <c r="DH48" i="2" s="1"/>
  <c r="DI48" i="2" s="1"/>
  <c r="DJ48" i="2" s="1"/>
  <c r="DK48" i="2" s="1"/>
  <c r="DL48" i="2" s="1"/>
  <c r="DM48" i="2" s="1"/>
  <c r="DN48" i="2" s="1"/>
  <c r="DO48" i="2" s="1"/>
  <c r="DP48" i="2" s="1"/>
  <c r="DQ48" i="2" s="1"/>
  <c r="DR48" i="2" s="1"/>
  <c r="DS48" i="2" s="1"/>
  <c r="DT48" i="2" s="1"/>
  <c r="DU48" i="2" s="1"/>
  <c r="DV48" i="2" s="1"/>
  <c r="DW48" i="2" s="1"/>
  <c r="DX48" i="2" s="1"/>
  <c r="DY48" i="2" s="1"/>
  <c r="DZ48" i="2" s="1"/>
  <c r="EA48" i="2" s="1"/>
  <c r="EB48" i="2" s="1"/>
  <c r="EC48" i="2" s="1"/>
  <c r="ED48" i="2" s="1"/>
  <c r="EE48" i="2" s="1"/>
  <c r="EF48" i="2" s="1"/>
  <c r="DE40" i="2"/>
  <c r="DF40" i="2" s="1"/>
  <c r="DG40" i="2" s="1"/>
  <c r="DH40" i="2" s="1"/>
  <c r="DI40" i="2" s="1"/>
  <c r="DJ40" i="2" s="1"/>
  <c r="DK40" i="2" s="1"/>
  <c r="DL40" i="2" s="1"/>
  <c r="DM40" i="2" s="1"/>
  <c r="DN40" i="2" s="1"/>
  <c r="DO40" i="2" s="1"/>
  <c r="DP40" i="2" s="1"/>
  <c r="DQ40" i="2" s="1"/>
  <c r="DR40" i="2" s="1"/>
  <c r="DS40" i="2" s="1"/>
  <c r="DT40" i="2" s="1"/>
  <c r="DU40" i="2" s="1"/>
  <c r="DV40" i="2" s="1"/>
  <c r="DW40" i="2" s="1"/>
  <c r="DX40" i="2" s="1"/>
  <c r="DY40" i="2" s="1"/>
  <c r="DZ40" i="2" s="1"/>
  <c r="EA40" i="2" s="1"/>
  <c r="EB40" i="2" s="1"/>
  <c r="EC40" i="2" s="1"/>
  <c r="ED40" i="2" s="1"/>
  <c r="EE40" i="2" s="1"/>
  <c r="EF40" i="2" s="1"/>
  <c r="DE59" i="2"/>
  <c r="DF59" i="2" s="1"/>
  <c r="DG59" i="2" s="1"/>
  <c r="DH59" i="2" s="1"/>
  <c r="DI59" i="2" s="1"/>
  <c r="DJ59" i="2" s="1"/>
  <c r="DK59" i="2" s="1"/>
  <c r="DL59" i="2" s="1"/>
  <c r="DM59" i="2" s="1"/>
  <c r="DN59" i="2" s="1"/>
  <c r="DO59" i="2" s="1"/>
  <c r="DP59" i="2" s="1"/>
  <c r="DQ59" i="2" s="1"/>
  <c r="DR59" i="2" s="1"/>
  <c r="DS59" i="2" s="1"/>
  <c r="DT59" i="2" s="1"/>
  <c r="DU59" i="2" s="1"/>
  <c r="DV59" i="2" s="1"/>
  <c r="DW59" i="2" s="1"/>
  <c r="DX59" i="2" s="1"/>
  <c r="DY59" i="2" s="1"/>
  <c r="DZ59" i="2" s="1"/>
  <c r="EA59" i="2" s="1"/>
  <c r="EB59" i="2" s="1"/>
  <c r="EC59" i="2" s="1"/>
  <c r="ED59" i="2" s="1"/>
  <c r="EE59" i="2" s="1"/>
  <c r="DE51" i="2"/>
  <c r="DF51" i="2" s="1"/>
  <c r="DG51" i="2" s="1"/>
  <c r="DH51" i="2" s="1"/>
  <c r="DI51" i="2" s="1"/>
  <c r="DJ51" i="2" s="1"/>
  <c r="DK51" i="2" s="1"/>
  <c r="DL51" i="2" s="1"/>
  <c r="DM51" i="2" s="1"/>
  <c r="DN51" i="2" s="1"/>
  <c r="DO51" i="2" s="1"/>
  <c r="DP51" i="2" s="1"/>
  <c r="DQ51" i="2" s="1"/>
  <c r="DR51" i="2" s="1"/>
  <c r="DS51" i="2" s="1"/>
  <c r="DT51" i="2" s="1"/>
  <c r="DU51" i="2" s="1"/>
  <c r="DV51" i="2" s="1"/>
  <c r="DW51" i="2" s="1"/>
  <c r="DX51" i="2" s="1"/>
  <c r="DY51" i="2" s="1"/>
  <c r="DZ51" i="2" s="1"/>
  <c r="EA51" i="2" s="1"/>
  <c r="EB51" i="2" s="1"/>
  <c r="EC51" i="2" s="1"/>
  <c r="ED51" i="2" s="1"/>
  <c r="EE51" i="2" s="1"/>
  <c r="DE43" i="2"/>
  <c r="DF43" i="2" s="1"/>
  <c r="DG43" i="2" s="1"/>
  <c r="DH43" i="2" s="1"/>
  <c r="DI43" i="2" s="1"/>
  <c r="DJ43" i="2" s="1"/>
  <c r="DK43" i="2" s="1"/>
  <c r="DL43" i="2" s="1"/>
  <c r="DM43" i="2" s="1"/>
  <c r="DN43" i="2" s="1"/>
  <c r="DO43" i="2" s="1"/>
  <c r="DP43" i="2" s="1"/>
  <c r="DQ43" i="2" s="1"/>
  <c r="DR43" i="2" s="1"/>
  <c r="DS43" i="2" s="1"/>
  <c r="DT43" i="2" s="1"/>
  <c r="DU43" i="2" s="1"/>
  <c r="DV43" i="2" s="1"/>
  <c r="DW43" i="2" s="1"/>
  <c r="DX43" i="2" s="1"/>
  <c r="DY43" i="2" s="1"/>
  <c r="DZ43" i="2" s="1"/>
  <c r="EA43" i="2" s="1"/>
  <c r="EB43" i="2" s="1"/>
  <c r="EC43" i="2" s="1"/>
  <c r="ED43" i="2" s="1"/>
  <c r="EE43" i="2" s="1"/>
  <c r="DE62" i="2"/>
  <c r="DF62" i="2" s="1"/>
  <c r="DG62" i="2" s="1"/>
  <c r="DH62" i="2" s="1"/>
  <c r="DI62" i="2" s="1"/>
  <c r="DJ62" i="2" s="1"/>
  <c r="DK62" i="2" s="1"/>
  <c r="DL62" i="2" s="1"/>
  <c r="DM62" i="2" s="1"/>
  <c r="DN62" i="2" s="1"/>
  <c r="DO62" i="2" s="1"/>
  <c r="DP62" i="2" s="1"/>
  <c r="DQ62" i="2" s="1"/>
  <c r="DR62" i="2" s="1"/>
  <c r="DS62" i="2" s="1"/>
  <c r="DT62" i="2" s="1"/>
  <c r="DU62" i="2" s="1"/>
  <c r="DV62" i="2" s="1"/>
  <c r="DW62" i="2" s="1"/>
  <c r="DX62" i="2" s="1"/>
  <c r="DY62" i="2" s="1"/>
  <c r="DZ62" i="2" s="1"/>
  <c r="EA62" i="2" s="1"/>
  <c r="EB62" i="2" s="1"/>
  <c r="EC62" i="2" s="1"/>
  <c r="ED62" i="2" s="1"/>
  <c r="EE62" i="2" s="1"/>
  <c r="DE54" i="2"/>
  <c r="DF54" i="2" s="1"/>
  <c r="DG54" i="2" s="1"/>
  <c r="DH54" i="2" s="1"/>
  <c r="DI54" i="2" s="1"/>
  <c r="DJ54" i="2" s="1"/>
  <c r="DK54" i="2" s="1"/>
  <c r="DL54" i="2" s="1"/>
  <c r="DM54" i="2" s="1"/>
  <c r="DN54" i="2" s="1"/>
  <c r="DO54" i="2" s="1"/>
  <c r="DP54" i="2" s="1"/>
  <c r="DQ54" i="2" s="1"/>
  <c r="DR54" i="2" s="1"/>
  <c r="DS54" i="2" s="1"/>
  <c r="DT54" i="2" s="1"/>
  <c r="DU54" i="2" s="1"/>
  <c r="DV54" i="2" s="1"/>
  <c r="DW54" i="2" s="1"/>
  <c r="DX54" i="2" s="1"/>
  <c r="DY54" i="2" s="1"/>
  <c r="DZ54" i="2" s="1"/>
  <c r="EA54" i="2" s="1"/>
  <c r="EB54" i="2" s="1"/>
  <c r="EC54" i="2" s="1"/>
  <c r="ED54" i="2" s="1"/>
  <c r="EE54" i="2" s="1"/>
  <c r="DE65" i="2"/>
  <c r="DF65" i="2" s="1"/>
  <c r="DG65" i="2" s="1"/>
  <c r="DH65" i="2" s="1"/>
  <c r="DI65" i="2" s="1"/>
  <c r="DJ65" i="2" s="1"/>
  <c r="DK65" i="2" s="1"/>
  <c r="DL65" i="2" s="1"/>
  <c r="DM65" i="2" s="1"/>
  <c r="DN65" i="2" s="1"/>
  <c r="DO65" i="2" s="1"/>
  <c r="DP65" i="2" s="1"/>
  <c r="DQ65" i="2" s="1"/>
  <c r="DR65" i="2" s="1"/>
  <c r="DS65" i="2" s="1"/>
  <c r="DT65" i="2" s="1"/>
  <c r="DU65" i="2" s="1"/>
  <c r="DV65" i="2" s="1"/>
  <c r="DW65" i="2" s="1"/>
  <c r="DX65" i="2" s="1"/>
  <c r="DY65" i="2" s="1"/>
  <c r="DZ65" i="2" s="1"/>
  <c r="EA65" i="2" s="1"/>
  <c r="EB65" i="2" s="1"/>
  <c r="EC65" i="2" s="1"/>
  <c r="ED65" i="2" s="1"/>
  <c r="EE65" i="2" s="1"/>
  <c r="DE57" i="2"/>
  <c r="DF57" i="2" s="1"/>
  <c r="DG57" i="2" s="1"/>
  <c r="DH57" i="2" s="1"/>
  <c r="DI57" i="2" s="1"/>
  <c r="DJ57" i="2" s="1"/>
  <c r="DK57" i="2" s="1"/>
  <c r="DL57" i="2" s="1"/>
  <c r="DM57" i="2" s="1"/>
  <c r="DN57" i="2" s="1"/>
  <c r="DO57" i="2" s="1"/>
  <c r="DP57" i="2" s="1"/>
  <c r="DQ57" i="2" s="1"/>
  <c r="DR57" i="2" s="1"/>
  <c r="DS57" i="2" s="1"/>
  <c r="DT57" i="2" s="1"/>
  <c r="DU57" i="2" s="1"/>
  <c r="DV57" i="2" s="1"/>
  <c r="DW57" i="2" s="1"/>
  <c r="DX57" i="2" s="1"/>
  <c r="DY57" i="2" s="1"/>
  <c r="DZ57" i="2" s="1"/>
  <c r="EA57" i="2" s="1"/>
  <c r="EB57" i="2" s="1"/>
  <c r="EC57" i="2" s="1"/>
  <c r="ED57" i="2" s="1"/>
  <c r="EE57" i="2" s="1"/>
  <c r="DE49" i="2"/>
  <c r="DF49" i="2" s="1"/>
  <c r="DG49" i="2" s="1"/>
  <c r="DH49" i="2" s="1"/>
  <c r="DI49" i="2" s="1"/>
  <c r="DJ49" i="2" s="1"/>
  <c r="DK49" i="2" s="1"/>
  <c r="DL49" i="2" s="1"/>
  <c r="DM49" i="2" s="1"/>
  <c r="DN49" i="2" s="1"/>
  <c r="DO49" i="2" s="1"/>
  <c r="DP49" i="2" s="1"/>
  <c r="DQ49" i="2" s="1"/>
  <c r="DR49" i="2" s="1"/>
  <c r="DS49" i="2" s="1"/>
  <c r="DT49" i="2" s="1"/>
  <c r="DU49" i="2" s="1"/>
  <c r="DV49" i="2" s="1"/>
  <c r="DW49" i="2" s="1"/>
  <c r="DX49" i="2" s="1"/>
  <c r="DY49" i="2" s="1"/>
  <c r="DZ49" i="2" s="1"/>
  <c r="EA49" i="2" s="1"/>
  <c r="EB49" i="2" s="1"/>
  <c r="EC49" i="2" s="1"/>
  <c r="ED49" i="2" s="1"/>
  <c r="EE49" i="2" s="1"/>
  <c r="DE41" i="2"/>
  <c r="DF41" i="2" s="1"/>
  <c r="DG41" i="2" s="1"/>
  <c r="DH41" i="2" s="1"/>
  <c r="DI41" i="2" s="1"/>
  <c r="DJ41" i="2" s="1"/>
  <c r="DK41" i="2" s="1"/>
  <c r="DL41" i="2" s="1"/>
  <c r="DM41" i="2" s="1"/>
  <c r="DN41" i="2" s="1"/>
  <c r="DO41" i="2" s="1"/>
  <c r="DP41" i="2" s="1"/>
  <c r="DQ41" i="2" s="1"/>
  <c r="DR41" i="2" s="1"/>
  <c r="DS41" i="2" s="1"/>
  <c r="DT41" i="2" s="1"/>
  <c r="DU41" i="2" s="1"/>
  <c r="DV41" i="2" s="1"/>
  <c r="DW41" i="2" s="1"/>
  <c r="DX41" i="2" s="1"/>
  <c r="DY41" i="2" s="1"/>
  <c r="DZ41" i="2" s="1"/>
  <c r="EA41" i="2" s="1"/>
  <c r="EB41" i="2" s="1"/>
  <c r="EC41" i="2" s="1"/>
  <c r="ED41" i="2" s="1"/>
  <c r="EE41" i="2" s="1"/>
  <c r="DE66" i="2"/>
  <c r="DF66" i="2" s="1"/>
  <c r="DG66" i="2" s="1"/>
  <c r="DH66" i="2" s="1"/>
  <c r="DI66" i="2" s="1"/>
  <c r="DJ66" i="2" s="1"/>
  <c r="DK66" i="2" s="1"/>
  <c r="DL66" i="2" s="1"/>
  <c r="DM66" i="2" s="1"/>
  <c r="DN66" i="2" s="1"/>
  <c r="DO66" i="2" s="1"/>
  <c r="DP66" i="2" s="1"/>
  <c r="DQ66" i="2" s="1"/>
  <c r="DR66" i="2" s="1"/>
  <c r="DS66" i="2" s="1"/>
  <c r="DT66" i="2" s="1"/>
  <c r="DU66" i="2" s="1"/>
  <c r="DV66" i="2" s="1"/>
  <c r="DW66" i="2" s="1"/>
  <c r="DX66" i="2" s="1"/>
  <c r="DY66" i="2" s="1"/>
  <c r="DZ66" i="2" s="1"/>
  <c r="EA66" i="2" s="1"/>
  <c r="EB66" i="2" s="1"/>
  <c r="EC66" i="2" s="1"/>
  <c r="ED66" i="2" s="1"/>
  <c r="EE66" i="2" s="1"/>
  <c r="DE58" i="2"/>
  <c r="DF58" i="2" s="1"/>
  <c r="DG58" i="2" s="1"/>
  <c r="DH58" i="2" s="1"/>
  <c r="DI58" i="2" s="1"/>
  <c r="DJ58" i="2" s="1"/>
  <c r="DK58" i="2" s="1"/>
  <c r="DL58" i="2" s="1"/>
  <c r="DM58" i="2" s="1"/>
  <c r="DN58" i="2" s="1"/>
  <c r="DO58" i="2" s="1"/>
  <c r="DP58" i="2" s="1"/>
  <c r="DQ58" i="2" s="1"/>
  <c r="DR58" i="2" s="1"/>
  <c r="DS58" i="2" s="1"/>
  <c r="DT58" i="2" s="1"/>
  <c r="DU58" i="2" s="1"/>
  <c r="DV58" i="2" s="1"/>
  <c r="DW58" i="2" s="1"/>
  <c r="DX58" i="2" s="1"/>
  <c r="DY58" i="2" s="1"/>
  <c r="DZ58" i="2" s="1"/>
  <c r="EA58" i="2" s="1"/>
  <c r="EB58" i="2" s="1"/>
  <c r="EC58" i="2" s="1"/>
  <c r="ED58" i="2" s="1"/>
  <c r="EE58" i="2" s="1"/>
  <c r="DE50" i="2"/>
  <c r="DF50" i="2" s="1"/>
  <c r="DG50" i="2" s="1"/>
  <c r="DH50" i="2" s="1"/>
  <c r="DI50" i="2" s="1"/>
  <c r="DJ50" i="2" s="1"/>
  <c r="DK50" i="2" s="1"/>
  <c r="DL50" i="2" s="1"/>
  <c r="DM50" i="2" s="1"/>
  <c r="DN50" i="2" s="1"/>
  <c r="DO50" i="2" s="1"/>
  <c r="DP50" i="2" s="1"/>
  <c r="DQ50" i="2" s="1"/>
  <c r="DR50" i="2" s="1"/>
  <c r="DS50" i="2" s="1"/>
  <c r="DT50" i="2" s="1"/>
  <c r="DU50" i="2" s="1"/>
  <c r="DV50" i="2" s="1"/>
  <c r="DW50" i="2" s="1"/>
  <c r="DX50" i="2" s="1"/>
  <c r="DY50" i="2" s="1"/>
  <c r="DZ50" i="2" s="1"/>
  <c r="EA50" i="2" s="1"/>
  <c r="EB50" i="2" s="1"/>
  <c r="EC50" i="2" s="1"/>
  <c r="ED50" i="2" s="1"/>
  <c r="EE50" i="2" s="1"/>
  <c r="DE42" i="2"/>
  <c r="DF42" i="2" s="1"/>
  <c r="DG42" i="2" s="1"/>
  <c r="DH42" i="2" s="1"/>
  <c r="DI42" i="2" s="1"/>
  <c r="DJ42" i="2" s="1"/>
  <c r="DK42" i="2" s="1"/>
  <c r="DL42" i="2" s="1"/>
  <c r="DM42" i="2" s="1"/>
  <c r="DN42" i="2" s="1"/>
  <c r="DO42" i="2" s="1"/>
  <c r="DP42" i="2" s="1"/>
  <c r="DQ42" i="2" s="1"/>
  <c r="DR42" i="2" s="1"/>
  <c r="DS42" i="2" s="1"/>
  <c r="DT42" i="2" s="1"/>
  <c r="DU42" i="2" s="1"/>
  <c r="DV42" i="2" s="1"/>
  <c r="DW42" i="2" s="1"/>
  <c r="DX42" i="2" s="1"/>
  <c r="DY42" i="2" s="1"/>
  <c r="DZ42" i="2" s="1"/>
  <c r="EA42" i="2" s="1"/>
  <c r="EB42" i="2" s="1"/>
  <c r="EC42" i="2" s="1"/>
  <c r="ED42" i="2" s="1"/>
  <c r="EE42" i="2" s="1"/>
  <c r="BX37" i="2"/>
  <c r="BY37" i="2" s="1"/>
  <c r="BZ37" i="2" s="1"/>
  <c r="CA37" i="2" s="1"/>
  <c r="CB37" i="2" s="1"/>
  <c r="CC37" i="2" s="1"/>
  <c r="CD37" i="2" s="1"/>
  <c r="CE37" i="2" s="1"/>
  <c r="CF37" i="2" s="1"/>
  <c r="CG37" i="2" s="1"/>
  <c r="CH37" i="2" s="1"/>
  <c r="CI37" i="2" s="1"/>
  <c r="CJ37" i="2" s="1"/>
  <c r="CK37" i="2" s="1"/>
  <c r="CL37" i="2" s="1"/>
  <c r="CM37" i="2" s="1"/>
  <c r="CN37" i="2" s="1"/>
  <c r="CO37" i="2" s="1"/>
  <c r="CP37" i="2" s="1"/>
  <c r="CQ37" i="2" s="1"/>
  <c r="CR37" i="2" s="1"/>
  <c r="CS37" i="2" s="1"/>
  <c r="CT37" i="2" s="1"/>
  <c r="CU37" i="2" s="1"/>
  <c r="CV37" i="2" s="1"/>
  <c r="CW37" i="2" s="1"/>
  <c r="CX37" i="2" s="1"/>
  <c r="CY37" i="2" s="1"/>
  <c r="H34" i="2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F32" i="2"/>
  <c r="F31" i="2" s="1"/>
  <c r="F30" i="2" s="1"/>
  <c r="F29" i="2" s="1"/>
  <c r="F28" i="2" s="1"/>
  <c r="F27" i="2" s="1"/>
  <c r="F26" i="2" s="1"/>
  <c r="F25" i="2" s="1"/>
  <c r="F24" i="2" s="1"/>
  <c r="F23" i="2" s="1"/>
  <c r="F22" i="2" s="1"/>
  <c r="F21" i="2" s="1"/>
  <c r="F20" i="2" s="1"/>
  <c r="F18" i="2" s="1"/>
  <c r="F17" i="2" s="1"/>
  <c r="F16" i="2" s="1"/>
  <c r="F15" i="2" s="1"/>
  <c r="F14" i="2" s="1"/>
  <c r="F13" i="2" s="1"/>
  <c r="F12" i="2" s="1"/>
  <c r="F11" i="2" s="1"/>
  <c r="F10" i="2" s="1"/>
  <c r="F9" i="2" s="1"/>
  <c r="F8" i="2" s="1"/>
  <c r="F7" i="2" s="1"/>
  <c r="F6" i="2" s="1"/>
  <c r="F5" i="2" s="1"/>
  <c r="F4" i="2" s="1"/>
  <c r="AH23" i="1"/>
  <c r="AC23" i="1"/>
  <c r="F22" i="1"/>
  <c r="AJ16" i="1"/>
  <c r="C6" i="1"/>
  <c r="AI23" i="1" s="1"/>
  <c r="C4" i="1"/>
  <c r="AD18" i="1" s="1"/>
  <c r="AI56" i="2" l="1"/>
  <c r="BQ88" i="2" s="1"/>
  <c r="AI40" i="2"/>
  <c r="BQ72" i="2" s="1"/>
  <c r="EF64" i="2"/>
  <c r="AI48" i="2"/>
  <c r="BQ80" i="2" s="1"/>
  <c r="EF47" i="2"/>
  <c r="AI47" i="2"/>
  <c r="EF41" i="2"/>
  <c r="AI41" i="2"/>
  <c r="EF54" i="2"/>
  <c r="AI54" i="2"/>
  <c r="EF53" i="2"/>
  <c r="AI53" i="2"/>
  <c r="EF42" i="2"/>
  <c r="AI42" i="2"/>
  <c r="EF55" i="2"/>
  <c r="AI55" i="2"/>
  <c r="EF49" i="2"/>
  <c r="AI49" i="2"/>
  <c r="EF62" i="2"/>
  <c r="AI62" i="2"/>
  <c r="EF39" i="2"/>
  <c r="AI39" i="2"/>
  <c r="EF50" i="2"/>
  <c r="AI50" i="2"/>
  <c r="EF63" i="2"/>
  <c r="AI63" i="2"/>
  <c r="EF57" i="2"/>
  <c r="AI57" i="2"/>
  <c r="BQ96" i="2"/>
  <c r="AH64" i="2"/>
  <c r="EF60" i="2"/>
  <c r="AI60" i="2"/>
  <c r="EF58" i="2"/>
  <c r="AI58" i="2"/>
  <c r="EF65" i="2"/>
  <c r="AI65" i="2"/>
  <c r="EF61" i="2"/>
  <c r="AI61" i="2"/>
  <c r="EF66" i="2"/>
  <c r="AI66" i="2"/>
  <c r="EF43" i="2"/>
  <c r="AI43" i="2"/>
  <c r="EF46" i="2"/>
  <c r="AI46" i="2"/>
  <c r="EF37" i="2"/>
  <c r="AI37" i="2"/>
  <c r="EF44" i="2"/>
  <c r="AI44" i="2"/>
  <c r="EF51" i="2"/>
  <c r="AI51" i="2"/>
  <c r="EF45" i="2"/>
  <c r="AI45" i="2"/>
  <c r="EF52" i="2"/>
  <c r="AI52" i="2"/>
  <c r="EF38" i="2"/>
  <c r="EF59" i="2"/>
  <c r="AI59" i="2"/>
  <c r="X18" i="1"/>
  <c r="M23" i="1"/>
  <c r="Q18" i="1"/>
  <c r="AD23" i="1"/>
  <c r="AH18" i="1"/>
  <c r="W23" i="1"/>
  <c r="M18" i="1"/>
  <c r="AC18" i="1"/>
  <c r="J23" i="1"/>
  <c r="R23" i="1"/>
  <c r="G18" i="1"/>
  <c r="O18" i="1"/>
  <c r="W18" i="1"/>
  <c r="AE18" i="1"/>
  <c r="L23" i="1"/>
  <c r="T23" i="1"/>
  <c r="AB23" i="1"/>
  <c r="P18" i="1"/>
  <c r="Y18" i="1"/>
  <c r="V23" i="1"/>
  <c r="R18" i="1"/>
  <c r="G23" i="1"/>
  <c r="H23" i="1"/>
  <c r="P23" i="1"/>
  <c r="X23" i="1"/>
  <c r="AF23" i="1"/>
  <c r="H18" i="1"/>
  <c r="I18" i="1"/>
  <c r="F23" i="1"/>
  <c r="J18" i="1"/>
  <c r="O23" i="1"/>
  <c r="K18" i="1"/>
  <c r="S18" i="1"/>
  <c r="AA18" i="1"/>
  <c r="AI18" i="1"/>
  <c r="L18" i="1"/>
  <c r="T18" i="1"/>
  <c r="AB18" i="1"/>
  <c r="C19" i="1"/>
  <c r="I23" i="1"/>
  <c r="Q23" i="1"/>
  <c r="Y23" i="1"/>
  <c r="AG23" i="1"/>
  <c r="AF18" i="1"/>
  <c r="U23" i="1"/>
  <c r="AG18" i="1"/>
  <c r="N23" i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Z18" i="1"/>
  <c r="AE23" i="1"/>
  <c r="U18" i="1"/>
  <c r="C20" i="1"/>
  <c r="Z23" i="1"/>
  <c r="C18" i="1"/>
  <c r="N18" i="1"/>
  <c r="V18" i="1"/>
  <c r="K23" i="1"/>
  <c r="S23" i="1"/>
  <c r="AA23" i="1"/>
  <c r="AH56" i="2" l="1"/>
  <c r="BP88" i="2" s="1"/>
  <c r="AH40" i="2"/>
  <c r="AG40" i="2" s="1"/>
  <c r="AH48" i="2"/>
  <c r="AG48" i="2" s="1"/>
  <c r="BQ84" i="2"/>
  <c r="AH52" i="2"/>
  <c r="BQ77" i="2"/>
  <c r="AH45" i="2"/>
  <c r="BQ69" i="2"/>
  <c r="AH37" i="2"/>
  <c r="BQ98" i="2"/>
  <c r="AH66" i="2"/>
  <c r="BQ90" i="2"/>
  <c r="AH58" i="2"/>
  <c r="BQ95" i="2"/>
  <c r="AH63" i="2"/>
  <c r="BQ81" i="2"/>
  <c r="AH49" i="2"/>
  <c r="AH54" i="2"/>
  <c r="BQ86" i="2"/>
  <c r="BQ85" i="2"/>
  <c r="AH53" i="2"/>
  <c r="AH62" i="2"/>
  <c r="BQ94" i="2"/>
  <c r="BQ91" i="2"/>
  <c r="AH59" i="2"/>
  <c r="BQ83" i="2"/>
  <c r="AH51" i="2"/>
  <c r="AH46" i="2"/>
  <c r="BQ78" i="2"/>
  <c r="AH61" i="2"/>
  <c r="BQ93" i="2"/>
  <c r="AH60" i="2"/>
  <c r="BQ92" i="2"/>
  <c r="AH50" i="2"/>
  <c r="BQ82" i="2"/>
  <c r="BQ87" i="2"/>
  <c r="AH55" i="2"/>
  <c r="BQ73" i="2"/>
  <c r="AH41" i="2"/>
  <c r="BQ89" i="2"/>
  <c r="AH57" i="2"/>
  <c r="BQ70" i="2"/>
  <c r="AH38" i="2"/>
  <c r="BQ76" i="2"/>
  <c r="AH44" i="2"/>
  <c r="BQ75" i="2"/>
  <c r="AH43" i="2"/>
  <c r="BQ97" i="2"/>
  <c r="EE97" i="2" s="1"/>
  <c r="EE96" i="2" s="1"/>
  <c r="AH65" i="2"/>
  <c r="AG64" i="2"/>
  <c r="BP96" i="2"/>
  <c r="BQ71" i="2"/>
  <c r="AH39" i="2"/>
  <c r="BQ74" i="2"/>
  <c r="AH42" i="2"/>
  <c r="BQ79" i="2"/>
  <c r="AH47" i="2"/>
  <c r="G22" i="1"/>
  <c r="G21" i="1"/>
  <c r="H21" i="1"/>
  <c r="BP80" i="2" l="1"/>
  <c r="AG56" i="2"/>
  <c r="BO88" i="2" s="1"/>
  <c r="BP72" i="2"/>
  <c r="AG60" i="2"/>
  <c r="BP92" i="2"/>
  <c r="AG59" i="2"/>
  <c r="BP91" i="2"/>
  <c r="BP71" i="2"/>
  <c r="AG39" i="2"/>
  <c r="BP76" i="2"/>
  <c r="AG44" i="2"/>
  <c r="AG41" i="2"/>
  <c r="BP73" i="2"/>
  <c r="AG63" i="2"/>
  <c r="BP95" i="2"/>
  <c r="AG45" i="2"/>
  <c r="BP77" i="2"/>
  <c r="BP81" i="2"/>
  <c r="AG49" i="2"/>
  <c r="AG61" i="2"/>
  <c r="BP93" i="2"/>
  <c r="AG62" i="2"/>
  <c r="BP94" i="2"/>
  <c r="AF56" i="2"/>
  <c r="BO80" i="2"/>
  <c r="AF48" i="2"/>
  <c r="AG38" i="2"/>
  <c r="BP70" i="2"/>
  <c r="AG55" i="2"/>
  <c r="BP87" i="2"/>
  <c r="AG53" i="2"/>
  <c r="BP85" i="2"/>
  <c r="BP90" i="2"/>
  <c r="AG58" i="2"/>
  <c r="AG52" i="2"/>
  <c r="BP84" i="2"/>
  <c r="BP75" i="2"/>
  <c r="AG43" i="2"/>
  <c r="AF64" i="2"/>
  <c r="BO96" i="2"/>
  <c r="BP78" i="2"/>
  <c r="AG46" i="2"/>
  <c r="BP74" i="2"/>
  <c r="AG42" i="2"/>
  <c r="BP79" i="2"/>
  <c r="AG47" i="2"/>
  <c r="BP97" i="2"/>
  <c r="ED97" i="2" s="1"/>
  <c r="ED96" i="2" s="1"/>
  <c r="AG65" i="2"/>
  <c r="AG57" i="2"/>
  <c r="BP89" i="2"/>
  <c r="BP83" i="2"/>
  <c r="AG51" i="2"/>
  <c r="BP98" i="2"/>
  <c r="AG66" i="2"/>
  <c r="BP69" i="2"/>
  <c r="AG37" i="2"/>
  <c r="EE95" i="2"/>
  <c r="EE94" i="2" s="1"/>
  <c r="EE93" i="2" s="1"/>
  <c r="EE92" i="2" s="1"/>
  <c r="EE91" i="2" s="1"/>
  <c r="EE90" i="2" s="1"/>
  <c r="EE89" i="2" s="1"/>
  <c r="EE88" i="2" s="1"/>
  <c r="EE87" i="2" s="1"/>
  <c r="EE86" i="2" s="1"/>
  <c r="EE85" i="2" s="1"/>
  <c r="EE84" i="2" s="1"/>
  <c r="EE83" i="2" s="1"/>
  <c r="EE82" i="2" s="1"/>
  <c r="EE81" i="2" s="1"/>
  <c r="EE80" i="2" s="1"/>
  <c r="EE79" i="2" s="1"/>
  <c r="EE78" i="2" s="1"/>
  <c r="EE77" i="2" s="1"/>
  <c r="EE76" i="2" s="1"/>
  <c r="EE75" i="2" s="1"/>
  <c r="EE74" i="2" s="1"/>
  <c r="EE73" i="2" s="1"/>
  <c r="EE72" i="2" s="1"/>
  <c r="EE71" i="2" s="1"/>
  <c r="EE70" i="2" s="1"/>
  <c r="EE69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G50" i="2"/>
  <c r="BP82" i="2"/>
  <c r="AG54" i="2"/>
  <c r="BP86" i="2"/>
  <c r="BO72" i="2"/>
  <c r="AF40" i="2"/>
  <c r="I21" i="1"/>
  <c r="H22" i="1"/>
  <c r="I22" i="1" s="1"/>
  <c r="J22" i="1" s="1"/>
  <c r="ED95" i="2" l="1"/>
  <c r="ED94" i="2" s="1"/>
  <c r="ED93" i="2" s="1"/>
  <c r="ED92" i="2" s="1"/>
  <c r="ED91" i="2" s="1"/>
  <c r="ED90" i="2" s="1"/>
  <c r="ED89" i="2" s="1"/>
  <c r="ED88" i="2" s="1"/>
  <c r="ED87" i="2" s="1"/>
  <c r="ED86" i="2" s="1"/>
  <c r="ED85" i="2" s="1"/>
  <c r="ED84" i="2" s="1"/>
  <c r="ED83" i="2" s="1"/>
  <c r="ED82" i="2" s="1"/>
  <c r="ED81" i="2" s="1"/>
  <c r="ED80" i="2" s="1"/>
  <c r="ED79" i="2" s="1"/>
  <c r="ED78" i="2" s="1"/>
  <c r="ED77" i="2" s="1"/>
  <c r="ED76" i="2" s="1"/>
  <c r="ED75" i="2" s="1"/>
  <c r="ED74" i="2" s="1"/>
  <c r="ED73" i="2" s="1"/>
  <c r="ED72" i="2" s="1"/>
  <c r="ED71" i="2" s="1"/>
  <c r="ED70" i="2" s="1"/>
  <c r="ED69" i="2" s="1"/>
  <c r="AH69" i="2" s="1"/>
  <c r="AH70" i="2" s="1"/>
  <c r="AH71" i="2" s="1"/>
  <c r="AH72" i="2" s="1"/>
  <c r="AH73" i="2" s="1"/>
  <c r="AH74" i="2" s="1"/>
  <c r="AH75" i="2" s="1"/>
  <c r="AH76" i="2" s="1"/>
  <c r="AH77" i="2" s="1"/>
  <c r="AH78" i="2" s="1"/>
  <c r="AH79" i="2" s="1"/>
  <c r="AH80" i="2" s="1"/>
  <c r="AH81" i="2" s="1"/>
  <c r="AH82" i="2" s="1"/>
  <c r="AH83" i="2" s="1"/>
  <c r="AH84" i="2" s="1"/>
  <c r="AH85" i="2" s="1"/>
  <c r="AH86" i="2" s="1"/>
  <c r="AH87" i="2" s="1"/>
  <c r="AH88" i="2" s="1"/>
  <c r="AH89" i="2" s="1"/>
  <c r="AH90" i="2" s="1"/>
  <c r="AH91" i="2" s="1"/>
  <c r="AH92" i="2" s="1"/>
  <c r="AH93" i="2" s="1"/>
  <c r="AH94" i="2" s="1"/>
  <c r="AH95" i="2" s="1"/>
  <c r="AH96" i="2" s="1"/>
  <c r="AH97" i="2" s="1"/>
  <c r="AH98" i="2" s="1"/>
  <c r="AE64" i="2"/>
  <c r="BN96" i="2"/>
  <c r="BO85" i="2"/>
  <c r="AF53" i="2"/>
  <c r="AE56" i="2"/>
  <c r="BN88" i="2"/>
  <c r="AF45" i="2"/>
  <c r="BO77" i="2"/>
  <c r="BO71" i="2"/>
  <c r="AF39" i="2"/>
  <c r="AF66" i="2"/>
  <c r="BO98" i="2"/>
  <c r="AF47" i="2"/>
  <c r="BO79" i="2"/>
  <c r="AF43" i="2"/>
  <c r="BO75" i="2"/>
  <c r="BO97" i="2"/>
  <c r="EC97" i="2" s="1"/>
  <c r="EC96" i="2" s="1"/>
  <c r="AF65" i="2"/>
  <c r="AE40" i="2"/>
  <c r="BN72" i="2"/>
  <c r="AF55" i="2"/>
  <c r="BO87" i="2"/>
  <c r="AF62" i="2"/>
  <c r="BO94" i="2"/>
  <c r="BO95" i="2"/>
  <c r="AF63" i="2"/>
  <c r="BO86" i="2"/>
  <c r="AF54" i="2"/>
  <c r="AF51" i="2"/>
  <c r="BO83" i="2"/>
  <c r="AF42" i="2"/>
  <c r="BO74" i="2"/>
  <c r="AF59" i="2"/>
  <c r="BO91" i="2"/>
  <c r="AF52" i="2"/>
  <c r="BO84" i="2"/>
  <c r="AF38" i="2"/>
  <c r="BO70" i="2"/>
  <c r="BO93" i="2"/>
  <c r="AF61" i="2"/>
  <c r="AF37" i="2"/>
  <c r="BO69" i="2"/>
  <c r="AF50" i="2"/>
  <c r="BO82" i="2"/>
  <c r="AF46" i="2"/>
  <c r="BO78" i="2"/>
  <c r="BO90" i="2"/>
  <c r="AF58" i="2"/>
  <c r="BN80" i="2"/>
  <c r="AE48" i="2"/>
  <c r="AF49" i="2"/>
  <c r="BO81" i="2"/>
  <c r="AF41" i="2"/>
  <c r="BO73" i="2"/>
  <c r="AF60" i="2"/>
  <c r="BO92" i="2"/>
  <c r="BO89" i="2"/>
  <c r="AF57" i="2"/>
  <c r="AF44" i="2"/>
  <c r="BO76" i="2"/>
  <c r="J21" i="1"/>
  <c r="AE42" i="2" l="1"/>
  <c r="BN74" i="2"/>
  <c r="AE62" i="2"/>
  <c r="BN94" i="2"/>
  <c r="BN75" i="2"/>
  <c r="AE43" i="2"/>
  <c r="AE45" i="2"/>
  <c r="BN77" i="2"/>
  <c r="AE60" i="2"/>
  <c r="BN92" i="2"/>
  <c r="AE61" i="2"/>
  <c r="BN93" i="2"/>
  <c r="BN78" i="2"/>
  <c r="AE46" i="2"/>
  <c r="BN70" i="2"/>
  <c r="AE38" i="2"/>
  <c r="BN83" i="2"/>
  <c r="AE51" i="2"/>
  <c r="BN87" i="2"/>
  <c r="AE55" i="2"/>
  <c r="AE47" i="2"/>
  <c r="BN79" i="2"/>
  <c r="AD56" i="2"/>
  <c r="BM88" i="2"/>
  <c r="BN73" i="2"/>
  <c r="AE41" i="2"/>
  <c r="AE44" i="2"/>
  <c r="BN76" i="2"/>
  <c r="BN81" i="2"/>
  <c r="AE49" i="2"/>
  <c r="AE50" i="2"/>
  <c r="BN82" i="2"/>
  <c r="BN86" i="2"/>
  <c r="AE54" i="2"/>
  <c r="AE53" i="2"/>
  <c r="BN85" i="2"/>
  <c r="AE57" i="2"/>
  <c r="BN89" i="2"/>
  <c r="AD48" i="2"/>
  <c r="BM80" i="2"/>
  <c r="AE52" i="2"/>
  <c r="BN84" i="2"/>
  <c r="AD40" i="2"/>
  <c r="BM72" i="2"/>
  <c r="AE66" i="2"/>
  <c r="BN98" i="2"/>
  <c r="BN90" i="2"/>
  <c r="AE58" i="2"/>
  <c r="BN69" i="2"/>
  <c r="AE37" i="2"/>
  <c r="AE63" i="2"/>
  <c r="BN95" i="2"/>
  <c r="AE65" i="2"/>
  <c r="BN97" i="2"/>
  <c r="EB97" i="2" s="1"/>
  <c r="EB96" i="2" s="1"/>
  <c r="AE39" i="2"/>
  <c r="BN71" i="2"/>
  <c r="BN91" i="2"/>
  <c r="AE59" i="2"/>
  <c r="EC95" i="2"/>
  <c r="EC94" i="2" s="1"/>
  <c r="EC93" i="2" s="1"/>
  <c r="EC92" i="2" s="1"/>
  <c r="EC91" i="2" s="1"/>
  <c r="EC90" i="2" s="1"/>
  <c r="EC89" i="2" s="1"/>
  <c r="EC88" i="2" s="1"/>
  <c r="EC87" i="2" s="1"/>
  <c r="EC86" i="2" s="1"/>
  <c r="EC85" i="2" s="1"/>
  <c r="EC84" i="2" s="1"/>
  <c r="EC83" i="2" s="1"/>
  <c r="EC82" i="2" s="1"/>
  <c r="EC81" i="2" s="1"/>
  <c r="EC80" i="2" s="1"/>
  <c r="EC79" i="2" s="1"/>
  <c r="EC78" i="2" s="1"/>
  <c r="EC77" i="2" s="1"/>
  <c r="EC76" i="2" s="1"/>
  <c r="EC75" i="2" s="1"/>
  <c r="EC74" i="2" s="1"/>
  <c r="EC73" i="2" s="1"/>
  <c r="EC72" i="2" s="1"/>
  <c r="EC71" i="2" s="1"/>
  <c r="EC70" i="2" s="1"/>
  <c r="EC69" i="2" s="1"/>
  <c r="AG69" i="2" s="1"/>
  <c r="AG70" i="2" s="1"/>
  <c r="AG71" i="2" s="1"/>
  <c r="AG72" i="2" s="1"/>
  <c r="AG73" i="2" s="1"/>
  <c r="AG74" i="2" s="1"/>
  <c r="AG75" i="2" s="1"/>
  <c r="AG76" i="2" s="1"/>
  <c r="AG77" i="2" s="1"/>
  <c r="AG78" i="2" s="1"/>
  <c r="AG79" i="2" s="1"/>
  <c r="AG80" i="2" s="1"/>
  <c r="AG81" i="2" s="1"/>
  <c r="AG82" i="2" s="1"/>
  <c r="AG83" i="2" s="1"/>
  <c r="AG84" i="2" s="1"/>
  <c r="AG85" i="2" s="1"/>
  <c r="AG86" i="2" s="1"/>
  <c r="AG87" i="2" s="1"/>
  <c r="AG88" i="2" s="1"/>
  <c r="AG89" i="2" s="1"/>
  <c r="AG90" i="2" s="1"/>
  <c r="AG91" i="2" s="1"/>
  <c r="AG92" i="2" s="1"/>
  <c r="AG93" i="2" s="1"/>
  <c r="AG94" i="2" s="1"/>
  <c r="AG95" i="2" s="1"/>
  <c r="AG96" i="2" s="1"/>
  <c r="AG97" i="2" s="1"/>
  <c r="AG98" i="2" s="1"/>
  <c r="AD64" i="2"/>
  <c r="BM96" i="2"/>
  <c r="K21" i="1"/>
  <c r="K22" i="1"/>
  <c r="L22" i="1" s="1"/>
  <c r="EB95" i="2" l="1"/>
  <c r="EB94" i="2" s="1"/>
  <c r="EB93" i="2" s="1"/>
  <c r="EB92" i="2" s="1"/>
  <c r="EB91" i="2" s="1"/>
  <c r="EB90" i="2" s="1"/>
  <c r="EB89" i="2" s="1"/>
  <c r="EB88" i="2" s="1"/>
  <c r="EB87" i="2" s="1"/>
  <c r="EB86" i="2" s="1"/>
  <c r="EB85" i="2" s="1"/>
  <c r="EB84" i="2" s="1"/>
  <c r="EB83" i="2" s="1"/>
  <c r="EB82" i="2" s="1"/>
  <c r="EB81" i="2" s="1"/>
  <c r="EB80" i="2" s="1"/>
  <c r="EB79" i="2" s="1"/>
  <c r="EB78" i="2" s="1"/>
  <c r="EB77" i="2" s="1"/>
  <c r="EB76" i="2" s="1"/>
  <c r="EB75" i="2" s="1"/>
  <c r="EB74" i="2" s="1"/>
  <c r="EB73" i="2" s="1"/>
  <c r="EB72" i="2" s="1"/>
  <c r="EB71" i="2" s="1"/>
  <c r="EB70" i="2" s="1"/>
  <c r="EB69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BM71" i="2"/>
  <c r="AD39" i="2"/>
  <c r="BL80" i="2"/>
  <c r="AC48" i="2"/>
  <c r="AD50" i="2"/>
  <c r="BM82" i="2"/>
  <c r="BL88" i="2"/>
  <c r="AC56" i="2"/>
  <c r="AD45" i="2"/>
  <c r="BM77" i="2"/>
  <c r="AD58" i="2"/>
  <c r="BM90" i="2"/>
  <c r="AD49" i="2"/>
  <c r="BM81" i="2"/>
  <c r="BM78" i="2"/>
  <c r="AD46" i="2"/>
  <c r="AD43" i="2"/>
  <c r="BM75" i="2"/>
  <c r="BM97" i="2"/>
  <c r="EA97" i="2" s="1"/>
  <c r="EA96" i="2" s="1"/>
  <c r="AD65" i="2"/>
  <c r="AD66" i="2"/>
  <c r="BM98" i="2"/>
  <c r="BM89" i="2"/>
  <c r="AD57" i="2"/>
  <c r="AD47" i="2"/>
  <c r="BM79" i="2"/>
  <c r="AC64" i="2"/>
  <c r="BL96" i="2"/>
  <c r="AD55" i="2"/>
  <c r="BM87" i="2"/>
  <c r="AD63" i="2"/>
  <c r="BM95" i="2"/>
  <c r="BL72" i="2"/>
  <c r="AC40" i="2"/>
  <c r="BM85" i="2"/>
  <c r="AD53" i="2"/>
  <c r="BM76" i="2"/>
  <c r="AD44" i="2"/>
  <c r="AD61" i="2"/>
  <c r="BM93" i="2"/>
  <c r="AD62" i="2"/>
  <c r="BM94" i="2"/>
  <c r="AD59" i="2"/>
  <c r="BM91" i="2"/>
  <c r="BM69" i="2"/>
  <c r="AD37" i="2"/>
  <c r="AD54" i="2"/>
  <c r="BM86" i="2"/>
  <c r="BM73" i="2"/>
  <c r="AD41" i="2"/>
  <c r="BM83" i="2"/>
  <c r="AD51" i="2"/>
  <c r="AD38" i="2"/>
  <c r="BM70" i="2"/>
  <c r="BM84" i="2"/>
  <c r="AD52" i="2"/>
  <c r="AD60" i="2"/>
  <c r="BM92" i="2"/>
  <c r="BM74" i="2"/>
  <c r="AD42" i="2"/>
  <c r="L21" i="1"/>
  <c r="AB56" i="2" l="1"/>
  <c r="BK88" i="2"/>
  <c r="AC54" i="2"/>
  <c r="BL86" i="2"/>
  <c r="AC61" i="2"/>
  <c r="BL93" i="2"/>
  <c r="BL95" i="2"/>
  <c r="AC63" i="2"/>
  <c r="AC38" i="2"/>
  <c r="BL70" i="2"/>
  <c r="AC37" i="2"/>
  <c r="BL69" i="2"/>
  <c r="AC44" i="2"/>
  <c r="BL76" i="2"/>
  <c r="AC55" i="2"/>
  <c r="BL87" i="2"/>
  <c r="BL98" i="2"/>
  <c r="AC66" i="2"/>
  <c r="BL81" i="2"/>
  <c r="AC49" i="2"/>
  <c r="BL82" i="2"/>
  <c r="AC50" i="2"/>
  <c r="AC46" i="2"/>
  <c r="BL78" i="2"/>
  <c r="AC42" i="2"/>
  <c r="BL74" i="2"/>
  <c r="AC51" i="2"/>
  <c r="BL83" i="2"/>
  <c r="BL85" i="2"/>
  <c r="AC53" i="2"/>
  <c r="AC65" i="2"/>
  <c r="BL97" i="2"/>
  <c r="DZ97" i="2" s="1"/>
  <c r="DZ96" i="2" s="1"/>
  <c r="DZ95" i="2" s="1"/>
  <c r="AB48" i="2"/>
  <c r="BK80" i="2"/>
  <c r="BL91" i="2"/>
  <c r="AC59" i="2"/>
  <c r="AB64" i="2"/>
  <c r="BK96" i="2"/>
  <c r="EA95" i="2"/>
  <c r="EA94" i="2" s="1"/>
  <c r="EA93" i="2" s="1"/>
  <c r="EA92" i="2" s="1"/>
  <c r="EA91" i="2" s="1"/>
  <c r="EA90" i="2" s="1"/>
  <c r="EA89" i="2" s="1"/>
  <c r="EA88" i="2" s="1"/>
  <c r="EA87" i="2" s="1"/>
  <c r="EA86" i="2" s="1"/>
  <c r="EA85" i="2" s="1"/>
  <c r="EA84" i="2" s="1"/>
  <c r="EA83" i="2" s="1"/>
  <c r="EA82" i="2" s="1"/>
  <c r="EA81" i="2" s="1"/>
  <c r="EA80" i="2" s="1"/>
  <c r="EA79" i="2" s="1"/>
  <c r="EA78" i="2" s="1"/>
  <c r="EA77" i="2" s="1"/>
  <c r="EA76" i="2" s="1"/>
  <c r="EA75" i="2" s="1"/>
  <c r="EA74" i="2" s="1"/>
  <c r="EA73" i="2" s="1"/>
  <c r="EA72" i="2" s="1"/>
  <c r="EA71" i="2" s="1"/>
  <c r="EA70" i="2" s="1"/>
  <c r="EA69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BL90" i="2"/>
  <c r="AC58" i="2"/>
  <c r="AC57" i="2"/>
  <c r="BL89" i="2"/>
  <c r="AC60" i="2"/>
  <c r="BL92" i="2"/>
  <c r="AC41" i="2"/>
  <c r="BL73" i="2"/>
  <c r="AB40" i="2"/>
  <c r="BK72" i="2"/>
  <c r="AC39" i="2"/>
  <c r="BL71" i="2"/>
  <c r="BL84" i="2"/>
  <c r="AC52" i="2"/>
  <c r="BL94" i="2"/>
  <c r="AC62" i="2"/>
  <c r="AC47" i="2"/>
  <c r="BL79" i="2"/>
  <c r="AC43" i="2"/>
  <c r="BL75" i="2"/>
  <c r="AC45" i="2"/>
  <c r="BL77" i="2"/>
  <c r="M21" i="1"/>
  <c r="M22" i="1"/>
  <c r="N22" i="1" s="1"/>
  <c r="DZ94" i="2" l="1"/>
  <c r="DZ93" i="2" s="1"/>
  <c r="DZ92" i="2" s="1"/>
  <c r="DZ91" i="2" s="1"/>
  <c r="DZ90" i="2" s="1"/>
  <c r="DZ89" i="2" s="1"/>
  <c r="DZ88" i="2" s="1"/>
  <c r="DZ87" i="2" s="1"/>
  <c r="DZ86" i="2" s="1"/>
  <c r="DZ85" i="2" s="1"/>
  <c r="DZ84" i="2" s="1"/>
  <c r="DZ83" i="2" s="1"/>
  <c r="DZ82" i="2" s="1"/>
  <c r="DZ81" i="2" s="1"/>
  <c r="DZ80" i="2" s="1"/>
  <c r="DZ79" i="2" s="1"/>
  <c r="DZ78" i="2" s="1"/>
  <c r="DZ77" i="2" s="1"/>
  <c r="DZ76" i="2" s="1"/>
  <c r="DZ75" i="2" s="1"/>
  <c r="DZ74" i="2" s="1"/>
  <c r="DZ73" i="2" s="1"/>
  <c r="DZ72" i="2" s="1"/>
  <c r="DZ71" i="2" s="1"/>
  <c r="DZ70" i="2" s="1"/>
  <c r="DZ69" i="2" s="1"/>
  <c r="AD69" i="2" s="1"/>
  <c r="AD70" i="2" s="1"/>
  <c r="AD71" i="2" s="1"/>
  <c r="AD72" i="2" s="1"/>
  <c r="AD73" i="2" s="1"/>
  <c r="AD74" i="2" s="1"/>
  <c r="AD75" i="2" s="1"/>
  <c r="AD76" i="2" s="1"/>
  <c r="AD77" i="2" s="1"/>
  <c r="AD78" i="2" s="1"/>
  <c r="AD79" i="2" s="1"/>
  <c r="AD80" i="2" s="1"/>
  <c r="AD81" i="2" s="1"/>
  <c r="AD82" i="2" s="1"/>
  <c r="AD83" i="2" s="1"/>
  <c r="AD84" i="2" s="1"/>
  <c r="AD85" i="2" s="1"/>
  <c r="AD86" i="2" s="1"/>
  <c r="AD87" i="2" s="1"/>
  <c r="AD88" i="2" s="1"/>
  <c r="AD89" i="2" s="1"/>
  <c r="AD90" i="2" s="1"/>
  <c r="AD91" i="2" s="1"/>
  <c r="AD92" i="2" s="1"/>
  <c r="AD93" i="2" s="1"/>
  <c r="AD94" i="2" s="1"/>
  <c r="AD95" i="2" s="1"/>
  <c r="AD96" i="2" s="1"/>
  <c r="AD97" i="2" s="1"/>
  <c r="AD98" i="2" s="1"/>
  <c r="AB65" i="2"/>
  <c r="BK97" i="2"/>
  <c r="DY97" i="2" s="1"/>
  <c r="DY96" i="2" s="1"/>
  <c r="AB46" i="2"/>
  <c r="BK78" i="2"/>
  <c r="BK87" i="2"/>
  <c r="AB55" i="2"/>
  <c r="AB47" i="2"/>
  <c r="BK79" i="2"/>
  <c r="AB63" i="2"/>
  <c r="BK95" i="2"/>
  <c r="AB41" i="2"/>
  <c r="BK73" i="2"/>
  <c r="AB53" i="2"/>
  <c r="BK85" i="2"/>
  <c r="BK82" i="2"/>
  <c r="AB50" i="2"/>
  <c r="AB62" i="2"/>
  <c r="BK94" i="2"/>
  <c r="AA64" i="2"/>
  <c r="BJ96" i="2"/>
  <c r="AB44" i="2"/>
  <c r="BK76" i="2"/>
  <c r="AB61" i="2"/>
  <c r="BK93" i="2"/>
  <c r="AB52" i="2"/>
  <c r="BK84" i="2"/>
  <c r="BK77" i="2"/>
  <c r="AB45" i="2"/>
  <c r="BK92" i="2"/>
  <c r="AB60" i="2"/>
  <c r="AB59" i="2"/>
  <c r="BK91" i="2"/>
  <c r="BK81" i="2"/>
  <c r="AB49" i="2"/>
  <c r="AB51" i="2"/>
  <c r="BK83" i="2"/>
  <c r="BK69" i="2"/>
  <c r="AB37" i="2"/>
  <c r="AB54" i="2"/>
  <c r="BK86" i="2"/>
  <c r="BK75" i="2"/>
  <c r="AB43" i="2"/>
  <c r="BK71" i="2"/>
  <c r="AB39" i="2"/>
  <c r="AB57" i="2"/>
  <c r="BK89" i="2"/>
  <c r="AB66" i="2"/>
  <c r="BK98" i="2"/>
  <c r="AA40" i="2"/>
  <c r="BJ72" i="2"/>
  <c r="BK90" i="2"/>
  <c r="AB58" i="2"/>
  <c r="AA48" i="2"/>
  <c r="BJ80" i="2"/>
  <c r="BK74" i="2"/>
  <c r="AB42" i="2"/>
  <c r="BK70" i="2"/>
  <c r="AB38" i="2"/>
  <c r="BJ88" i="2"/>
  <c r="AA56" i="2"/>
  <c r="N21" i="1"/>
  <c r="AA42" i="2" l="1"/>
  <c r="BJ74" i="2"/>
  <c r="BJ86" i="2"/>
  <c r="AA54" i="2"/>
  <c r="AA59" i="2"/>
  <c r="BJ91" i="2"/>
  <c r="AA61" i="2"/>
  <c r="BJ93" i="2"/>
  <c r="BJ79" i="2"/>
  <c r="AA47" i="2"/>
  <c r="BI80" i="2"/>
  <c r="Z48" i="2"/>
  <c r="BJ89" i="2"/>
  <c r="AA57" i="2"/>
  <c r="AA37" i="2"/>
  <c r="BJ69" i="2"/>
  <c r="BJ92" i="2"/>
  <c r="AA60" i="2"/>
  <c r="BJ87" i="2"/>
  <c r="AA55" i="2"/>
  <c r="AA58" i="2"/>
  <c r="BJ90" i="2"/>
  <c r="BJ71" i="2"/>
  <c r="AA39" i="2"/>
  <c r="BJ76" i="2"/>
  <c r="AA44" i="2"/>
  <c r="BJ85" i="2"/>
  <c r="AA53" i="2"/>
  <c r="AA50" i="2"/>
  <c r="BJ82" i="2"/>
  <c r="AA45" i="2"/>
  <c r="BJ77" i="2"/>
  <c r="Z56" i="2"/>
  <c r="BI88" i="2"/>
  <c r="AA38" i="2"/>
  <c r="BJ70" i="2"/>
  <c r="BJ75" i="2"/>
  <c r="AA43" i="2"/>
  <c r="BJ83" i="2"/>
  <c r="AA51" i="2"/>
  <c r="Z64" i="2"/>
  <c r="BI96" i="2"/>
  <c r="BJ73" i="2"/>
  <c r="AA41" i="2"/>
  <c r="AA46" i="2"/>
  <c r="BJ78" i="2"/>
  <c r="AA66" i="2"/>
  <c r="BJ98" i="2"/>
  <c r="BI72" i="2"/>
  <c r="Z40" i="2"/>
  <c r="BJ81" i="2"/>
  <c r="AA49" i="2"/>
  <c r="DY95" i="2"/>
  <c r="DY94" i="2" s="1"/>
  <c r="DY93" i="2" s="1"/>
  <c r="DY92" i="2" s="1"/>
  <c r="DY91" i="2" s="1"/>
  <c r="DY90" i="2" s="1"/>
  <c r="DY89" i="2" s="1"/>
  <c r="DY88" i="2" s="1"/>
  <c r="DY87" i="2" s="1"/>
  <c r="DY86" i="2" s="1"/>
  <c r="DY85" i="2" s="1"/>
  <c r="DY84" i="2" s="1"/>
  <c r="DY83" i="2" s="1"/>
  <c r="DY82" i="2" s="1"/>
  <c r="DY81" i="2" s="1"/>
  <c r="DY80" i="2" s="1"/>
  <c r="DY79" i="2" s="1"/>
  <c r="DY78" i="2" s="1"/>
  <c r="DY77" i="2" s="1"/>
  <c r="DY76" i="2" s="1"/>
  <c r="DY75" i="2" s="1"/>
  <c r="DY74" i="2" s="1"/>
  <c r="DY73" i="2" s="1"/>
  <c r="DY72" i="2" s="1"/>
  <c r="DY71" i="2" s="1"/>
  <c r="DY70" i="2" s="1"/>
  <c r="DY69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BJ84" i="2"/>
  <c r="AA52" i="2"/>
  <c r="BJ94" i="2"/>
  <c r="AA62" i="2"/>
  <c r="AA63" i="2"/>
  <c r="BJ95" i="2"/>
  <c r="BJ97" i="2"/>
  <c r="DX97" i="2" s="1"/>
  <c r="DX96" i="2" s="1"/>
  <c r="AA65" i="2"/>
  <c r="O21" i="1"/>
  <c r="O22" i="1"/>
  <c r="P22" i="1" s="1"/>
  <c r="DX95" i="2" l="1"/>
  <c r="DX94" i="2" s="1"/>
  <c r="DX93" i="2" s="1"/>
  <c r="DX92" i="2" s="1"/>
  <c r="DX91" i="2" s="1"/>
  <c r="DX90" i="2" s="1"/>
  <c r="DX89" i="2" s="1"/>
  <c r="DX88" i="2" s="1"/>
  <c r="DX87" i="2" s="1"/>
  <c r="DX86" i="2" s="1"/>
  <c r="DX85" i="2" s="1"/>
  <c r="DX84" i="2" s="1"/>
  <c r="DX83" i="2" s="1"/>
  <c r="DX82" i="2" s="1"/>
  <c r="DX81" i="2" s="1"/>
  <c r="DX80" i="2" s="1"/>
  <c r="DX79" i="2" s="1"/>
  <c r="DX78" i="2" s="1"/>
  <c r="DX77" i="2" s="1"/>
  <c r="DX76" i="2" s="1"/>
  <c r="DX75" i="2" s="1"/>
  <c r="DX74" i="2" s="1"/>
  <c r="DX73" i="2" s="1"/>
  <c r="DX72" i="2" s="1"/>
  <c r="DX71" i="2" s="1"/>
  <c r="DX70" i="2" s="1"/>
  <c r="DX69" i="2" s="1"/>
  <c r="AB69" i="2" s="1"/>
  <c r="AB70" i="2" s="1"/>
  <c r="AB71" i="2" s="1"/>
  <c r="AB72" i="2" s="1"/>
  <c r="AB73" i="2" s="1"/>
  <c r="AB74" i="2" s="1"/>
  <c r="AB75" i="2" s="1"/>
  <c r="AB76" i="2" s="1"/>
  <c r="AB77" i="2" s="1"/>
  <c r="AB78" i="2" s="1"/>
  <c r="AB79" i="2" s="1"/>
  <c r="AB80" i="2" s="1"/>
  <c r="AB81" i="2" s="1"/>
  <c r="AB82" i="2" s="1"/>
  <c r="AB83" i="2" s="1"/>
  <c r="AB84" i="2" s="1"/>
  <c r="AB85" i="2" s="1"/>
  <c r="AB86" i="2" s="1"/>
  <c r="AB87" i="2" s="1"/>
  <c r="AB88" i="2" s="1"/>
  <c r="AB89" i="2" s="1"/>
  <c r="AB90" i="2" s="1"/>
  <c r="AB91" i="2" s="1"/>
  <c r="AB92" i="2" s="1"/>
  <c r="AB93" i="2" s="1"/>
  <c r="AB94" i="2" s="1"/>
  <c r="AB95" i="2" s="1"/>
  <c r="AB96" i="2" s="1"/>
  <c r="AB97" i="2" s="1"/>
  <c r="AB98" i="2" s="1"/>
  <c r="Z66" i="2"/>
  <c r="BI98" i="2"/>
  <c r="Z43" i="2"/>
  <c r="BI75" i="2"/>
  <c r="BI69" i="2"/>
  <c r="Z37" i="2"/>
  <c r="Z61" i="2"/>
  <c r="BI93" i="2"/>
  <c r="Z52" i="2"/>
  <c r="BI84" i="2"/>
  <c r="Z46" i="2"/>
  <c r="BI78" i="2"/>
  <c r="Z50" i="2"/>
  <c r="BI82" i="2"/>
  <c r="Z57" i="2"/>
  <c r="BI89" i="2"/>
  <c r="Z49" i="2"/>
  <c r="BI81" i="2"/>
  <c r="BI73" i="2"/>
  <c r="Z41" i="2"/>
  <c r="BI85" i="2"/>
  <c r="Z53" i="2"/>
  <c r="Z58" i="2"/>
  <c r="BI90" i="2"/>
  <c r="BI91" i="2"/>
  <c r="Z59" i="2"/>
  <c r="Z45" i="2"/>
  <c r="BI77" i="2"/>
  <c r="BI70" i="2"/>
  <c r="Z38" i="2"/>
  <c r="BI87" i="2"/>
  <c r="Z55" i="2"/>
  <c r="BH80" i="2"/>
  <c r="Y48" i="2"/>
  <c r="Z54" i="2"/>
  <c r="BI86" i="2"/>
  <c r="Z63" i="2"/>
  <c r="BI95" i="2"/>
  <c r="Y40" i="2"/>
  <c r="BH72" i="2"/>
  <c r="BI76" i="2"/>
  <c r="Z44" i="2"/>
  <c r="Z39" i="2"/>
  <c r="BI71" i="2"/>
  <c r="BI94" i="2"/>
  <c r="Z62" i="2"/>
  <c r="Y64" i="2"/>
  <c r="BH96" i="2"/>
  <c r="BH88" i="2"/>
  <c r="Y56" i="2"/>
  <c r="Z60" i="2"/>
  <c r="BI92" i="2"/>
  <c r="BI79" i="2"/>
  <c r="Z47" i="2"/>
  <c r="BI97" i="2"/>
  <c r="DW97" i="2" s="1"/>
  <c r="DW96" i="2" s="1"/>
  <c r="Z65" i="2"/>
  <c r="BI83" i="2"/>
  <c r="Z51" i="2"/>
  <c r="Z42" i="2"/>
  <c r="BI74" i="2"/>
  <c r="P21" i="1"/>
  <c r="DW95" i="2" l="1"/>
  <c r="DW94" i="2" s="1"/>
  <c r="DW93" i="2" s="1"/>
  <c r="DW92" i="2" s="1"/>
  <c r="DW91" i="2" s="1"/>
  <c r="DW90" i="2" s="1"/>
  <c r="DW89" i="2" s="1"/>
  <c r="DW88" i="2" s="1"/>
  <c r="DW87" i="2" s="1"/>
  <c r="DW86" i="2" s="1"/>
  <c r="DW85" i="2" s="1"/>
  <c r="DW84" i="2" s="1"/>
  <c r="DW83" i="2" s="1"/>
  <c r="DW82" i="2" s="1"/>
  <c r="DW81" i="2" s="1"/>
  <c r="DW80" i="2" s="1"/>
  <c r="DW79" i="2" s="1"/>
  <c r="DW78" i="2" s="1"/>
  <c r="DW77" i="2" s="1"/>
  <c r="DW76" i="2" s="1"/>
  <c r="DW75" i="2" s="1"/>
  <c r="DW74" i="2" s="1"/>
  <c r="DW73" i="2" s="1"/>
  <c r="DW72" i="2" s="1"/>
  <c r="DW71" i="2" s="1"/>
  <c r="DW70" i="2" s="1"/>
  <c r="DW69" i="2" s="1"/>
  <c r="AA69" i="2" s="1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AA96" i="2" s="1"/>
  <c r="AA97" i="2" s="1"/>
  <c r="AA98" i="2" s="1"/>
  <c r="X64" i="2"/>
  <c r="BG96" i="2"/>
  <c r="BH79" i="2"/>
  <c r="Y47" i="2"/>
  <c r="Y62" i="2"/>
  <c r="BH94" i="2"/>
  <c r="BH70" i="2"/>
  <c r="Y38" i="2"/>
  <c r="Y53" i="2"/>
  <c r="BH85" i="2"/>
  <c r="Y57" i="2"/>
  <c r="BH89" i="2"/>
  <c r="BH93" i="2"/>
  <c r="Y61" i="2"/>
  <c r="BH95" i="2"/>
  <c r="Y63" i="2"/>
  <c r="Y37" i="2"/>
  <c r="BH69" i="2"/>
  <c r="Y42" i="2"/>
  <c r="BH74" i="2"/>
  <c r="Y41" i="2"/>
  <c r="BH73" i="2"/>
  <c r="Y50" i="2"/>
  <c r="BH82" i="2"/>
  <c r="BH92" i="2"/>
  <c r="Y60" i="2"/>
  <c r="BH71" i="2"/>
  <c r="Y39" i="2"/>
  <c r="Y54" i="2"/>
  <c r="BH86" i="2"/>
  <c r="Y45" i="2"/>
  <c r="BH77" i="2"/>
  <c r="BG72" i="2"/>
  <c r="X40" i="2"/>
  <c r="BH83" i="2"/>
  <c r="Y51" i="2"/>
  <c r="X56" i="2"/>
  <c r="BG88" i="2"/>
  <c r="BH76" i="2"/>
  <c r="Y44" i="2"/>
  <c r="X48" i="2"/>
  <c r="BG80" i="2"/>
  <c r="Y59" i="2"/>
  <c r="BH91" i="2"/>
  <c r="Y46" i="2"/>
  <c r="BH78" i="2"/>
  <c r="BH75" i="2"/>
  <c r="Y43" i="2"/>
  <c r="Y49" i="2"/>
  <c r="BH81" i="2"/>
  <c r="Y58" i="2"/>
  <c r="BH90" i="2"/>
  <c r="Y65" i="2"/>
  <c r="BH97" i="2"/>
  <c r="DV97" i="2" s="1"/>
  <c r="DV96" i="2" s="1"/>
  <c r="Y55" i="2"/>
  <c r="BH87" i="2"/>
  <c r="BH84" i="2"/>
  <c r="Y52" i="2"/>
  <c r="BH98" i="2"/>
  <c r="Y66" i="2"/>
  <c r="Q21" i="1"/>
  <c r="Q22" i="1"/>
  <c r="R22" i="1" s="1"/>
  <c r="DV95" i="2" l="1"/>
  <c r="DV94" i="2" s="1"/>
  <c r="DV93" i="2" s="1"/>
  <c r="DV92" i="2" s="1"/>
  <c r="DV91" i="2" s="1"/>
  <c r="DV90" i="2" s="1"/>
  <c r="DV89" i="2" s="1"/>
  <c r="DV88" i="2" s="1"/>
  <c r="DV87" i="2" s="1"/>
  <c r="DV86" i="2" s="1"/>
  <c r="DV85" i="2" s="1"/>
  <c r="DV84" i="2" s="1"/>
  <c r="DV83" i="2" s="1"/>
  <c r="DV82" i="2" s="1"/>
  <c r="DV81" i="2" s="1"/>
  <c r="DV80" i="2" s="1"/>
  <c r="DV79" i="2" s="1"/>
  <c r="DV78" i="2" s="1"/>
  <c r="DV77" i="2" s="1"/>
  <c r="DV76" i="2" s="1"/>
  <c r="DV75" i="2" s="1"/>
  <c r="DV74" i="2" s="1"/>
  <c r="DV73" i="2" s="1"/>
  <c r="DV72" i="2" s="1"/>
  <c r="DV71" i="2" s="1"/>
  <c r="DV70" i="2" s="1"/>
  <c r="DV69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BG87" i="2"/>
  <c r="X55" i="2"/>
  <c r="BG95" i="2"/>
  <c r="X63" i="2"/>
  <c r="X65" i="2"/>
  <c r="BG97" i="2"/>
  <c r="DU97" i="2" s="1"/>
  <c r="DU96" i="2" s="1"/>
  <c r="X46" i="2"/>
  <c r="BG78" i="2"/>
  <c r="BF88" i="2"/>
  <c r="W56" i="2"/>
  <c r="X54" i="2"/>
  <c r="BG86" i="2"/>
  <c r="X41" i="2"/>
  <c r="BG73" i="2"/>
  <c r="X61" i="2"/>
  <c r="BG93" i="2"/>
  <c r="X62" i="2"/>
  <c r="BG94" i="2"/>
  <c r="X50" i="2"/>
  <c r="BG82" i="2"/>
  <c r="BG90" i="2"/>
  <c r="X58" i="2"/>
  <c r="X59" i="2"/>
  <c r="BG91" i="2"/>
  <c r="X47" i="2"/>
  <c r="BG79" i="2"/>
  <c r="BG70" i="2"/>
  <c r="X38" i="2"/>
  <c r="X51" i="2"/>
  <c r="BG83" i="2"/>
  <c r="X52" i="2"/>
  <c r="BG84" i="2"/>
  <c r="BF72" i="2"/>
  <c r="W40" i="2"/>
  <c r="BG92" i="2"/>
  <c r="X60" i="2"/>
  <c r="X42" i="2"/>
  <c r="BG74" i="2"/>
  <c r="BG89" i="2"/>
  <c r="X57" i="2"/>
  <c r="BG77" i="2"/>
  <c r="X45" i="2"/>
  <c r="X66" i="2"/>
  <c r="BG98" i="2"/>
  <c r="X49" i="2"/>
  <c r="BG81" i="2"/>
  <c r="W48" i="2"/>
  <c r="BF80" i="2"/>
  <c r="X39" i="2"/>
  <c r="BG71" i="2"/>
  <c r="X43" i="2"/>
  <c r="BG75" i="2"/>
  <c r="BG76" i="2"/>
  <c r="X44" i="2"/>
  <c r="X37" i="2"/>
  <c r="BG69" i="2"/>
  <c r="BG85" i="2"/>
  <c r="X53" i="2"/>
  <c r="W64" i="2"/>
  <c r="BF96" i="2"/>
  <c r="R21" i="1"/>
  <c r="S22" i="1"/>
  <c r="DU95" i="2" l="1"/>
  <c r="DU94" i="2" s="1"/>
  <c r="DU93" i="2" s="1"/>
  <c r="DU92" i="2" s="1"/>
  <c r="DU91" i="2" s="1"/>
  <c r="DU90" i="2" s="1"/>
  <c r="DU89" i="2" s="1"/>
  <c r="DU88" i="2" s="1"/>
  <c r="DU87" i="2" s="1"/>
  <c r="DU86" i="2" s="1"/>
  <c r="DU85" i="2" s="1"/>
  <c r="DU84" i="2" s="1"/>
  <c r="DU83" i="2" s="1"/>
  <c r="DU82" i="2" s="1"/>
  <c r="DU81" i="2" s="1"/>
  <c r="DU80" i="2" s="1"/>
  <c r="DU79" i="2" s="1"/>
  <c r="DU78" i="2" s="1"/>
  <c r="DU77" i="2" s="1"/>
  <c r="DU76" i="2" s="1"/>
  <c r="DU75" i="2" s="1"/>
  <c r="DU74" i="2" s="1"/>
  <c r="DU73" i="2" s="1"/>
  <c r="DU72" i="2" s="1"/>
  <c r="DU71" i="2" s="1"/>
  <c r="DU70" i="2" s="1"/>
  <c r="DU69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W37" i="2"/>
  <c r="BF69" i="2"/>
  <c r="V48" i="2"/>
  <c r="BE80" i="2"/>
  <c r="BF84" i="2"/>
  <c r="W52" i="2"/>
  <c r="BF91" i="2"/>
  <c r="W59" i="2"/>
  <c r="W61" i="2"/>
  <c r="BF93" i="2"/>
  <c r="BF78" i="2"/>
  <c r="W46" i="2"/>
  <c r="W44" i="2"/>
  <c r="BF76" i="2"/>
  <c r="W58" i="2"/>
  <c r="BF90" i="2"/>
  <c r="BF81" i="2"/>
  <c r="W49" i="2"/>
  <c r="BF74" i="2"/>
  <c r="W42" i="2"/>
  <c r="W51" i="2"/>
  <c r="BF83" i="2"/>
  <c r="W41" i="2"/>
  <c r="BF73" i="2"/>
  <c r="W65" i="2"/>
  <c r="BF97" i="2"/>
  <c r="DT97" i="2" s="1"/>
  <c r="DT96" i="2" s="1"/>
  <c r="BF92" i="2"/>
  <c r="W60" i="2"/>
  <c r="BF70" i="2"/>
  <c r="W38" i="2"/>
  <c r="W63" i="2"/>
  <c r="BF95" i="2"/>
  <c r="V64" i="2"/>
  <c r="BE96" i="2"/>
  <c r="W43" i="2"/>
  <c r="BF75" i="2"/>
  <c r="BF98" i="2"/>
  <c r="W66" i="2"/>
  <c r="BF82" i="2"/>
  <c r="W50" i="2"/>
  <c r="W54" i="2"/>
  <c r="BF86" i="2"/>
  <c r="W53" i="2"/>
  <c r="BF85" i="2"/>
  <c r="W45" i="2"/>
  <c r="BF77" i="2"/>
  <c r="V40" i="2"/>
  <c r="BE72" i="2"/>
  <c r="V56" i="2"/>
  <c r="BE88" i="2"/>
  <c r="W55" i="2"/>
  <c r="BF87" i="2"/>
  <c r="BF89" i="2"/>
  <c r="W57" i="2"/>
  <c r="W39" i="2"/>
  <c r="BF71" i="2"/>
  <c r="W47" i="2"/>
  <c r="BF79" i="2"/>
  <c r="BF94" i="2"/>
  <c r="W62" i="2"/>
  <c r="S21" i="1"/>
  <c r="DT95" i="2" l="1"/>
  <c r="DT94" i="2" s="1"/>
  <c r="DT93" i="2" s="1"/>
  <c r="DT92" i="2" s="1"/>
  <c r="DT91" i="2" s="1"/>
  <c r="DT90" i="2" s="1"/>
  <c r="DT89" i="2" s="1"/>
  <c r="DT88" i="2" s="1"/>
  <c r="DT87" i="2" s="1"/>
  <c r="DT86" i="2" s="1"/>
  <c r="DT85" i="2" s="1"/>
  <c r="DT84" i="2" s="1"/>
  <c r="DT83" i="2" s="1"/>
  <c r="DT82" i="2" s="1"/>
  <c r="DT81" i="2" s="1"/>
  <c r="DT80" i="2" s="1"/>
  <c r="DT79" i="2" s="1"/>
  <c r="DT78" i="2" s="1"/>
  <c r="DT77" i="2" s="1"/>
  <c r="DT76" i="2" s="1"/>
  <c r="DT75" i="2" s="1"/>
  <c r="DT74" i="2" s="1"/>
  <c r="DT73" i="2" s="1"/>
  <c r="DT72" i="2" s="1"/>
  <c r="DT71" i="2" s="1"/>
  <c r="DT70" i="2" s="1"/>
  <c r="DT69" i="2" s="1"/>
  <c r="X69" i="2" s="1"/>
  <c r="X70" i="2" s="1"/>
  <c r="X71" i="2" s="1"/>
  <c r="X72" i="2" s="1"/>
  <c r="X73" i="2" s="1"/>
  <c r="X74" i="2" s="1"/>
  <c r="X75" i="2" s="1"/>
  <c r="X76" i="2" s="1"/>
  <c r="X77" i="2" s="1"/>
  <c r="X78" i="2" s="1"/>
  <c r="X79" i="2" s="1"/>
  <c r="X80" i="2" s="1"/>
  <c r="X81" i="2" s="1"/>
  <c r="X82" i="2" s="1"/>
  <c r="X83" i="2" s="1"/>
  <c r="X84" i="2" s="1"/>
  <c r="X85" i="2" s="1"/>
  <c r="X86" i="2" s="1"/>
  <c r="X87" i="2" s="1"/>
  <c r="X88" i="2" s="1"/>
  <c r="X89" i="2" s="1"/>
  <c r="X90" i="2" s="1"/>
  <c r="X91" i="2" s="1"/>
  <c r="X92" i="2" s="1"/>
  <c r="X93" i="2" s="1"/>
  <c r="X94" i="2" s="1"/>
  <c r="X95" i="2" s="1"/>
  <c r="X96" i="2" s="1"/>
  <c r="X97" i="2" s="1"/>
  <c r="X98" i="2" s="1"/>
  <c r="V66" i="2"/>
  <c r="BE98" i="2"/>
  <c r="V38" i="2"/>
  <c r="BE70" i="2"/>
  <c r="V58" i="2"/>
  <c r="BE90" i="2"/>
  <c r="BE91" i="2"/>
  <c r="V59" i="2"/>
  <c r="BE94" i="2"/>
  <c r="V62" i="2"/>
  <c r="V51" i="2"/>
  <c r="BE83" i="2"/>
  <c r="V52" i="2"/>
  <c r="BE84" i="2"/>
  <c r="V41" i="2"/>
  <c r="BE73" i="2"/>
  <c r="V55" i="2"/>
  <c r="BE87" i="2"/>
  <c r="V53" i="2"/>
  <c r="BE85" i="2"/>
  <c r="V60" i="2"/>
  <c r="BE92" i="2"/>
  <c r="BE74" i="2"/>
  <c r="V42" i="2"/>
  <c r="V44" i="2"/>
  <c r="BE76" i="2"/>
  <c r="V43" i="2"/>
  <c r="BE75" i="2"/>
  <c r="V46" i="2"/>
  <c r="BE78" i="2"/>
  <c r="U56" i="2"/>
  <c r="BD88" i="2"/>
  <c r="V54" i="2"/>
  <c r="BE86" i="2"/>
  <c r="V49" i="2"/>
  <c r="BE81" i="2"/>
  <c r="U48" i="2"/>
  <c r="BD80" i="2"/>
  <c r="V57" i="2"/>
  <c r="BE89" i="2"/>
  <c r="V63" i="2"/>
  <c r="BE95" i="2"/>
  <c r="V45" i="2"/>
  <c r="BE77" i="2"/>
  <c r="V47" i="2"/>
  <c r="BE79" i="2"/>
  <c r="V50" i="2"/>
  <c r="BE82" i="2"/>
  <c r="U64" i="2"/>
  <c r="BD96" i="2"/>
  <c r="BE97" i="2"/>
  <c r="DS97" i="2" s="1"/>
  <c r="DS96" i="2" s="1"/>
  <c r="V65" i="2"/>
  <c r="V39" i="2"/>
  <c r="BE71" i="2"/>
  <c r="BD72" i="2"/>
  <c r="U40" i="2"/>
  <c r="BE93" i="2"/>
  <c r="V61" i="2"/>
  <c r="V37" i="2"/>
  <c r="BE69" i="2"/>
  <c r="T21" i="1"/>
  <c r="T22" i="1"/>
  <c r="U22" i="1" s="1"/>
  <c r="U50" i="2" l="1"/>
  <c r="BD82" i="2"/>
  <c r="T56" i="2"/>
  <c r="BC88" i="2"/>
  <c r="U41" i="2"/>
  <c r="BD73" i="2"/>
  <c r="BD74" i="2"/>
  <c r="U42" i="2"/>
  <c r="BD71" i="2"/>
  <c r="U39" i="2"/>
  <c r="U47" i="2"/>
  <c r="BD79" i="2"/>
  <c r="T48" i="2"/>
  <c r="BC80" i="2"/>
  <c r="U59" i="2"/>
  <c r="BD91" i="2"/>
  <c r="U65" i="2"/>
  <c r="BD97" i="2"/>
  <c r="DR97" i="2" s="1"/>
  <c r="DR96" i="2" s="1"/>
  <c r="U46" i="2"/>
  <c r="BD78" i="2"/>
  <c r="U60" i="2"/>
  <c r="BD92" i="2"/>
  <c r="U52" i="2"/>
  <c r="BD84" i="2"/>
  <c r="BD90" i="2"/>
  <c r="U58" i="2"/>
  <c r="BD69" i="2"/>
  <c r="U37" i="2"/>
  <c r="DS95" i="2"/>
  <c r="DS94" i="2" s="1"/>
  <c r="DS93" i="2" s="1"/>
  <c r="DS92" i="2" s="1"/>
  <c r="DS91" i="2" s="1"/>
  <c r="DS90" i="2" s="1"/>
  <c r="DS89" i="2" s="1"/>
  <c r="DS88" i="2" s="1"/>
  <c r="DS87" i="2" s="1"/>
  <c r="DS86" i="2" s="1"/>
  <c r="DS85" i="2" s="1"/>
  <c r="DS84" i="2" s="1"/>
  <c r="DS83" i="2" s="1"/>
  <c r="DS82" i="2" s="1"/>
  <c r="DS81" i="2" s="1"/>
  <c r="DS80" i="2" s="1"/>
  <c r="DS79" i="2" s="1"/>
  <c r="DS78" i="2" s="1"/>
  <c r="DS77" i="2" s="1"/>
  <c r="DS76" i="2" s="1"/>
  <c r="DS75" i="2" s="1"/>
  <c r="DS74" i="2" s="1"/>
  <c r="DS73" i="2" s="1"/>
  <c r="DS72" i="2" s="1"/>
  <c r="DS71" i="2" s="1"/>
  <c r="DS70" i="2" s="1"/>
  <c r="DS69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BD77" i="2"/>
  <c r="U45" i="2"/>
  <c r="U49" i="2"/>
  <c r="BD81" i="2"/>
  <c r="U43" i="2"/>
  <c r="BD75" i="2"/>
  <c r="U53" i="2"/>
  <c r="BD85" i="2"/>
  <c r="U51" i="2"/>
  <c r="BD83" i="2"/>
  <c r="BD70" i="2"/>
  <c r="U38" i="2"/>
  <c r="U61" i="2"/>
  <c r="BD93" i="2"/>
  <c r="T64" i="2"/>
  <c r="BC96" i="2"/>
  <c r="U63" i="2"/>
  <c r="BD95" i="2"/>
  <c r="U62" i="2"/>
  <c r="BD94" i="2"/>
  <c r="U57" i="2"/>
  <c r="BD89" i="2"/>
  <c r="BC72" i="2"/>
  <c r="T40" i="2"/>
  <c r="U54" i="2"/>
  <c r="BD86" i="2"/>
  <c r="U44" i="2"/>
  <c r="BD76" i="2"/>
  <c r="U55" i="2"/>
  <c r="BD87" i="2"/>
  <c r="BD98" i="2"/>
  <c r="U66" i="2"/>
  <c r="U21" i="1"/>
  <c r="T42" i="2" l="1"/>
  <c r="BC74" i="2"/>
  <c r="T54" i="2"/>
  <c r="BC86" i="2"/>
  <c r="BC95" i="2"/>
  <c r="T63" i="2"/>
  <c r="T51" i="2"/>
  <c r="BC83" i="2"/>
  <c r="BC92" i="2"/>
  <c r="T60" i="2"/>
  <c r="S64" i="2"/>
  <c r="BB96" i="2"/>
  <c r="T53" i="2"/>
  <c r="BC85" i="2"/>
  <c r="BC69" i="2"/>
  <c r="T37" i="2"/>
  <c r="BB80" i="2"/>
  <c r="S48" i="2"/>
  <c r="T41" i="2"/>
  <c r="BC73" i="2"/>
  <c r="T59" i="2"/>
  <c r="BC91" i="2"/>
  <c r="BC78" i="2"/>
  <c r="T46" i="2"/>
  <c r="BC84" i="2"/>
  <c r="T52" i="2"/>
  <c r="BB72" i="2"/>
  <c r="S40" i="2"/>
  <c r="T55" i="2"/>
  <c r="BC87" i="2"/>
  <c r="T57" i="2"/>
  <c r="BC89" i="2"/>
  <c r="T61" i="2"/>
  <c r="BC93" i="2"/>
  <c r="T43" i="2"/>
  <c r="BC75" i="2"/>
  <c r="BC90" i="2"/>
  <c r="T58" i="2"/>
  <c r="DR95" i="2"/>
  <c r="DR94" i="2" s="1"/>
  <c r="DR93" i="2" s="1"/>
  <c r="DR92" i="2" s="1"/>
  <c r="DR91" i="2" s="1"/>
  <c r="DR90" i="2" s="1"/>
  <c r="DR89" i="2" s="1"/>
  <c r="DR88" i="2" s="1"/>
  <c r="DR87" i="2" s="1"/>
  <c r="DR86" i="2" s="1"/>
  <c r="DR85" i="2" s="1"/>
  <c r="DR84" i="2" s="1"/>
  <c r="DR83" i="2" s="1"/>
  <c r="DR82" i="2" s="1"/>
  <c r="DR81" i="2" s="1"/>
  <c r="DR80" i="2" s="1"/>
  <c r="DR79" i="2" s="1"/>
  <c r="DR78" i="2" s="1"/>
  <c r="DR77" i="2" s="1"/>
  <c r="DR76" i="2" s="1"/>
  <c r="DR75" i="2" s="1"/>
  <c r="DR74" i="2" s="1"/>
  <c r="DR73" i="2" s="1"/>
  <c r="DR72" i="2" s="1"/>
  <c r="DR71" i="2" s="1"/>
  <c r="DR70" i="2" s="1"/>
  <c r="DR69" i="2" s="1"/>
  <c r="V69" i="2" s="1"/>
  <c r="V70" i="2" s="1"/>
  <c r="V71" i="2" s="1"/>
  <c r="V72" i="2" s="1"/>
  <c r="V73" i="2" s="1"/>
  <c r="V74" i="2" s="1"/>
  <c r="V75" i="2" s="1"/>
  <c r="V76" i="2" s="1"/>
  <c r="V77" i="2" s="1"/>
  <c r="V78" i="2" s="1"/>
  <c r="V79" i="2" s="1"/>
  <c r="V80" i="2" s="1"/>
  <c r="V81" i="2" s="1"/>
  <c r="V82" i="2" s="1"/>
  <c r="V83" i="2" s="1"/>
  <c r="V84" i="2" s="1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V98" i="2" s="1"/>
  <c r="T47" i="2"/>
  <c r="BC79" i="2"/>
  <c r="BB88" i="2"/>
  <c r="S56" i="2"/>
  <c r="T66" i="2"/>
  <c r="BC98" i="2"/>
  <c r="T38" i="2"/>
  <c r="BC70" i="2"/>
  <c r="T65" i="2"/>
  <c r="BC97" i="2"/>
  <c r="DQ97" i="2" s="1"/>
  <c r="DQ96" i="2" s="1"/>
  <c r="T39" i="2"/>
  <c r="BC71" i="2"/>
  <c r="T45" i="2"/>
  <c r="BC77" i="2"/>
  <c r="T44" i="2"/>
  <c r="BC76" i="2"/>
  <c r="T62" i="2"/>
  <c r="BC94" i="2"/>
  <c r="T49" i="2"/>
  <c r="BC81" i="2"/>
  <c r="T50" i="2"/>
  <c r="BC82" i="2"/>
  <c r="V21" i="1"/>
  <c r="V22" i="1"/>
  <c r="W22" i="1" s="1"/>
  <c r="S57" i="2" l="1"/>
  <c r="BB89" i="2"/>
  <c r="BB83" i="2"/>
  <c r="S51" i="2"/>
  <c r="S62" i="2"/>
  <c r="BB94" i="2"/>
  <c r="S65" i="2"/>
  <c r="BB97" i="2"/>
  <c r="DP97" i="2" s="1"/>
  <c r="DP96" i="2" s="1"/>
  <c r="BB76" i="2"/>
  <c r="S44" i="2"/>
  <c r="S38" i="2"/>
  <c r="BB70" i="2"/>
  <c r="S58" i="2"/>
  <c r="BB90" i="2"/>
  <c r="S63" i="2"/>
  <c r="BB95" i="2"/>
  <c r="BB87" i="2"/>
  <c r="S55" i="2"/>
  <c r="S59" i="2"/>
  <c r="BB91" i="2"/>
  <c r="S53" i="2"/>
  <c r="BB85" i="2"/>
  <c r="BB78" i="2"/>
  <c r="S46" i="2"/>
  <c r="BB82" i="2"/>
  <c r="S50" i="2"/>
  <c r="BB77" i="2"/>
  <c r="S45" i="2"/>
  <c r="S66" i="2"/>
  <c r="BB98" i="2"/>
  <c r="BA72" i="2"/>
  <c r="R40" i="2"/>
  <c r="BB79" i="2"/>
  <c r="S47" i="2"/>
  <c r="R56" i="2"/>
  <c r="BA88" i="2"/>
  <c r="BB75" i="2"/>
  <c r="S43" i="2"/>
  <c r="BB73" i="2"/>
  <c r="S41" i="2"/>
  <c r="R64" i="2"/>
  <c r="BA96" i="2"/>
  <c r="BB86" i="2"/>
  <c r="S54" i="2"/>
  <c r="BB69" i="2"/>
  <c r="S37" i="2"/>
  <c r="BB81" i="2"/>
  <c r="S49" i="2"/>
  <c r="BB71" i="2"/>
  <c r="S39" i="2"/>
  <c r="BB84" i="2"/>
  <c r="S52" i="2"/>
  <c r="R48" i="2"/>
  <c r="BA80" i="2"/>
  <c r="S60" i="2"/>
  <c r="BB92" i="2"/>
  <c r="DQ95" i="2"/>
  <c r="DQ94" i="2" s="1"/>
  <c r="DQ93" i="2" s="1"/>
  <c r="DQ92" i="2" s="1"/>
  <c r="DQ91" i="2" s="1"/>
  <c r="DQ90" i="2" s="1"/>
  <c r="DQ89" i="2" s="1"/>
  <c r="DQ88" i="2" s="1"/>
  <c r="DQ87" i="2" s="1"/>
  <c r="DQ86" i="2" s="1"/>
  <c r="DQ85" i="2" s="1"/>
  <c r="DQ84" i="2" s="1"/>
  <c r="DQ83" i="2" s="1"/>
  <c r="DQ82" i="2" s="1"/>
  <c r="DQ81" i="2" s="1"/>
  <c r="DQ80" i="2" s="1"/>
  <c r="DQ79" i="2" s="1"/>
  <c r="DQ78" i="2" s="1"/>
  <c r="DQ77" i="2" s="1"/>
  <c r="DQ76" i="2" s="1"/>
  <c r="DQ75" i="2" s="1"/>
  <c r="DQ74" i="2" s="1"/>
  <c r="DQ73" i="2" s="1"/>
  <c r="DQ72" i="2" s="1"/>
  <c r="DQ71" i="2" s="1"/>
  <c r="DQ70" i="2" s="1"/>
  <c r="DQ69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BB93" i="2"/>
  <c r="S61" i="2"/>
  <c r="BB74" i="2"/>
  <c r="S42" i="2"/>
  <c r="W21" i="1"/>
  <c r="DP95" i="2" l="1"/>
  <c r="DP94" i="2" s="1"/>
  <c r="DP93" i="2" s="1"/>
  <c r="DP92" i="2" s="1"/>
  <c r="DP91" i="2" s="1"/>
  <c r="DP90" i="2" s="1"/>
  <c r="DP89" i="2" s="1"/>
  <c r="DP88" i="2" s="1"/>
  <c r="DP87" i="2" s="1"/>
  <c r="DP86" i="2" s="1"/>
  <c r="DP85" i="2" s="1"/>
  <c r="DP84" i="2" s="1"/>
  <c r="DP83" i="2" s="1"/>
  <c r="DP82" i="2" s="1"/>
  <c r="DP81" i="2" s="1"/>
  <c r="DP80" i="2" s="1"/>
  <c r="DP79" i="2" s="1"/>
  <c r="DP78" i="2" s="1"/>
  <c r="DP77" i="2" s="1"/>
  <c r="DP76" i="2" s="1"/>
  <c r="DP75" i="2" s="1"/>
  <c r="DP74" i="2" s="1"/>
  <c r="DP73" i="2" s="1"/>
  <c r="DP72" i="2" s="1"/>
  <c r="DP71" i="2" s="1"/>
  <c r="DP70" i="2" s="1"/>
  <c r="DP69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BA78" i="2"/>
  <c r="R46" i="2"/>
  <c r="BA92" i="2"/>
  <c r="R60" i="2"/>
  <c r="R63" i="2"/>
  <c r="BA95" i="2"/>
  <c r="R65" i="2"/>
  <c r="BA97" i="2"/>
  <c r="DO97" i="2" s="1"/>
  <c r="DO96" i="2" s="1"/>
  <c r="Q40" i="2"/>
  <c r="AZ72" i="2"/>
  <c r="R37" i="2"/>
  <c r="BA69" i="2"/>
  <c r="BA75" i="2"/>
  <c r="R43" i="2"/>
  <c r="BA73" i="2"/>
  <c r="R41" i="2"/>
  <c r="Q48" i="2"/>
  <c r="AZ80" i="2"/>
  <c r="R66" i="2"/>
  <c r="BA98" i="2"/>
  <c r="R53" i="2"/>
  <c r="BA85" i="2"/>
  <c r="R58" i="2"/>
  <c r="BA90" i="2"/>
  <c r="R62" i="2"/>
  <c r="BA94" i="2"/>
  <c r="R52" i="2"/>
  <c r="BA84" i="2"/>
  <c r="R54" i="2"/>
  <c r="BA86" i="2"/>
  <c r="R45" i="2"/>
  <c r="BA77" i="2"/>
  <c r="R51" i="2"/>
  <c r="BA83" i="2"/>
  <c r="BA93" i="2"/>
  <c r="R61" i="2"/>
  <c r="Q56" i="2"/>
  <c r="AZ88" i="2"/>
  <c r="BA91" i="2"/>
  <c r="R59" i="2"/>
  <c r="BA70" i="2"/>
  <c r="R38" i="2"/>
  <c r="R49" i="2"/>
  <c r="BA81" i="2"/>
  <c r="R42" i="2"/>
  <c r="BA74" i="2"/>
  <c r="R39" i="2"/>
  <c r="BA71" i="2"/>
  <c r="R47" i="2"/>
  <c r="BA79" i="2"/>
  <c r="BA82" i="2"/>
  <c r="R50" i="2"/>
  <c r="BA87" i="2"/>
  <c r="R55" i="2"/>
  <c r="R44" i="2"/>
  <c r="BA76" i="2"/>
  <c r="Q64" i="2"/>
  <c r="AZ96" i="2"/>
  <c r="R57" i="2"/>
  <c r="BA89" i="2"/>
  <c r="X21" i="1"/>
  <c r="X22" i="1"/>
  <c r="Y22" i="1" s="1"/>
  <c r="DO95" i="2" l="1"/>
  <c r="DO94" i="2" s="1"/>
  <c r="DO93" i="2" s="1"/>
  <c r="DO92" i="2" s="1"/>
  <c r="DO91" i="2" s="1"/>
  <c r="DO90" i="2" s="1"/>
  <c r="DO89" i="2" s="1"/>
  <c r="DO88" i="2" s="1"/>
  <c r="DO87" i="2" s="1"/>
  <c r="DO86" i="2" s="1"/>
  <c r="DO85" i="2" s="1"/>
  <c r="DO84" i="2" s="1"/>
  <c r="DO83" i="2" s="1"/>
  <c r="DO82" i="2" s="1"/>
  <c r="DO81" i="2" s="1"/>
  <c r="DO80" i="2" s="1"/>
  <c r="DO79" i="2" s="1"/>
  <c r="DO78" i="2" s="1"/>
  <c r="DO77" i="2" s="1"/>
  <c r="DO76" i="2" s="1"/>
  <c r="DO75" i="2" s="1"/>
  <c r="DO74" i="2" s="1"/>
  <c r="DO73" i="2" s="1"/>
  <c r="DO72" i="2" s="1"/>
  <c r="DO71" i="2" s="1"/>
  <c r="DO70" i="2" s="1"/>
  <c r="DO69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AZ91" i="2"/>
  <c r="Q59" i="2"/>
  <c r="Q39" i="2"/>
  <c r="AZ71" i="2"/>
  <c r="AZ87" i="2"/>
  <c r="Q55" i="2"/>
  <c r="Q43" i="2"/>
  <c r="AZ75" i="2"/>
  <c r="Q41" i="2"/>
  <c r="AZ73" i="2"/>
  <c r="Q44" i="2"/>
  <c r="AZ76" i="2"/>
  <c r="Q45" i="2"/>
  <c r="AZ77" i="2"/>
  <c r="Q42" i="2"/>
  <c r="AZ74" i="2"/>
  <c r="AY88" i="2"/>
  <c r="P56" i="2"/>
  <c r="Q54" i="2"/>
  <c r="AZ86" i="2"/>
  <c r="Q53" i="2"/>
  <c r="AZ85" i="2"/>
  <c r="AZ95" i="2"/>
  <c r="Q63" i="2"/>
  <c r="Q65" i="2"/>
  <c r="AZ97" i="2"/>
  <c r="DN97" i="2" s="1"/>
  <c r="DN96" i="2" s="1"/>
  <c r="Q50" i="2"/>
  <c r="AZ82" i="2"/>
  <c r="Q61" i="2"/>
  <c r="AZ93" i="2"/>
  <c r="Q60" i="2"/>
  <c r="AZ92" i="2"/>
  <c r="Q57" i="2"/>
  <c r="AZ89" i="2"/>
  <c r="Q49" i="2"/>
  <c r="AZ81" i="2"/>
  <c r="Q52" i="2"/>
  <c r="AZ84" i="2"/>
  <c r="AZ98" i="2"/>
  <c r="Q66" i="2"/>
  <c r="Q37" i="2"/>
  <c r="AZ69" i="2"/>
  <c r="Q38" i="2"/>
  <c r="AZ70" i="2"/>
  <c r="AZ78" i="2"/>
  <c r="Q46" i="2"/>
  <c r="Q58" i="2"/>
  <c r="AZ90" i="2"/>
  <c r="P64" i="2"/>
  <c r="AY96" i="2"/>
  <c r="Q47" i="2"/>
  <c r="AZ79" i="2"/>
  <c r="AZ83" i="2"/>
  <c r="Q51" i="2"/>
  <c r="Q62" i="2"/>
  <c r="AZ94" i="2"/>
  <c r="P48" i="2"/>
  <c r="AY80" i="2"/>
  <c r="AY72" i="2"/>
  <c r="P40" i="2"/>
  <c r="Y21" i="1"/>
  <c r="P58" i="2" l="1"/>
  <c r="AY90" i="2"/>
  <c r="P60" i="2"/>
  <c r="AY92" i="2"/>
  <c r="P42" i="2"/>
  <c r="AY74" i="2"/>
  <c r="P43" i="2"/>
  <c r="AY75" i="2"/>
  <c r="P63" i="2"/>
  <c r="AY95" i="2"/>
  <c r="P51" i="2"/>
  <c r="AY83" i="2"/>
  <c r="P46" i="2"/>
  <c r="AY78" i="2"/>
  <c r="AY87" i="2"/>
  <c r="P55" i="2"/>
  <c r="P62" i="2"/>
  <c r="AY94" i="2"/>
  <c r="P52" i="2"/>
  <c r="AY84" i="2"/>
  <c r="P61" i="2"/>
  <c r="AY93" i="2"/>
  <c r="AY85" i="2"/>
  <c r="P53" i="2"/>
  <c r="P45" i="2"/>
  <c r="AY77" i="2"/>
  <c r="O40" i="2"/>
  <c r="AX72" i="2"/>
  <c r="AY79" i="2"/>
  <c r="P47" i="2"/>
  <c r="AY70" i="2"/>
  <c r="P38" i="2"/>
  <c r="P49" i="2"/>
  <c r="AY81" i="2"/>
  <c r="AY82" i="2"/>
  <c r="P50" i="2"/>
  <c r="P54" i="2"/>
  <c r="AY86" i="2"/>
  <c r="AY76" i="2"/>
  <c r="P44" i="2"/>
  <c r="AY71" i="2"/>
  <c r="P39" i="2"/>
  <c r="DN95" i="2"/>
  <c r="DN94" i="2" s="1"/>
  <c r="DN93" i="2" s="1"/>
  <c r="DN92" i="2" s="1"/>
  <c r="DN91" i="2" s="1"/>
  <c r="DN90" i="2" s="1"/>
  <c r="DN89" i="2" s="1"/>
  <c r="DN88" i="2" s="1"/>
  <c r="DN87" i="2" s="1"/>
  <c r="DN86" i="2" s="1"/>
  <c r="DN85" i="2" s="1"/>
  <c r="DN84" i="2" s="1"/>
  <c r="DN83" i="2" s="1"/>
  <c r="DN82" i="2" s="1"/>
  <c r="DN81" i="2" s="1"/>
  <c r="DN80" i="2" s="1"/>
  <c r="DN79" i="2" s="1"/>
  <c r="DN78" i="2" s="1"/>
  <c r="DN77" i="2" s="1"/>
  <c r="DN76" i="2" s="1"/>
  <c r="DN75" i="2" s="1"/>
  <c r="DN74" i="2" s="1"/>
  <c r="DN73" i="2" s="1"/>
  <c r="DN72" i="2" s="1"/>
  <c r="DN71" i="2" s="1"/>
  <c r="DN70" i="2" s="1"/>
  <c r="DN69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O56" i="2"/>
  <c r="AX88" i="2"/>
  <c r="AY91" i="2"/>
  <c r="P59" i="2"/>
  <c r="P66" i="2"/>
  <c r="AY98" i="2"/>
  <c r="O48" i="2"/>
  <c r="AX80" i="2"/>
  <c r="O64" i="2"/>
  <c r="AX96" i="2"/>
  <c r="P37" i="2"/>
  <c r="AY69" i="2"/>
  <c r="P57" i="2"/>
  <c r="AY89" i="2"/>
  <c r="AY97" i="2"/>
  <c r="DM97" i="2" s="1"/>
  <c r="DM96" i="2" s="1"/>
  <c r="DM95" i="2" s="1"/>
  <c r="DM94" i="2" s="1"/>
  <c r="P65" i="2"/>
  <c r="P41" i="2"/>
  <c r="AY73" i="2"/>
  <c r="Z21" i="1"/>
  <c r="Z22" i="1"/>
  <c r="AA22" i="1" s="1"/>
  <c r="O37" i="2" l="1"/>
  <c r="AX69" i="2"/>
  <c r="O47" i="2"/>
  <c r="AX79" i="2"/>
  <c r="AX75" i="2"/>
  <c r="O43" i="2"/>
  <c r="AX86" i="2"/>
  <c r="O54" i="2"/>
  <c r="O61" i="2"/>
  <c r="AX93" i="2"/>
  <c r="AX78" i="2"/>
  <c r="O46" i="2"/>
  <c r="O42" i="2"/>
  <c r="AX74" i="2"/>
  <c r="O55" i="2"/>
  <c r="AX87" i="2"/>
  <c r="AX73" i="2"/>
  <c r="O41" i="2"/>
  <c r="O65" i="2"/>
  <c r="AX97" i="2"/>
  <c r="DL97" i="2" s="1"/>
  <c r="DL96" i="2" s="1"/>
  <c r="O53" i="2"/>
  <c r="AX85" i="2"/>
  <c r="N64" i="2"/>
  <c r="AW96" i="2"/>
  <c r="DM93" i="2"/>
  <c r="DM92" i="2" s="1"/>
  <c r="DM91" i="2" s="1"/>
  <c r="DM90" i="2" s="1"/>
  <c r="DM89" i="2" s="1"/>
  <c r="DM88" i="2" s="1"/>
  <c r="DM87" i="2" s="1"/>
  <c r="DM86" i="2" s="1"/>
  <c r="DM85" i="2" s="1"/>
  <c r="DM84" i="2" s="1"/>
  <c r="DM83" i="2" s="1"/>
  <c r="DM82" i="2" s="1"/>
  <c r="DM81" i="2" s="1"/>
  <c r="DM80" i="2" s="1"/>
  <c r="DM79" i="2" s="1"/>
  <c r="DM78" i="2" s="1"/>
  <c r="DM77" i="2" s="1"/>
  <c r="DM76" i="2" s="1"/>
  <c r="DM75" i="2" s="1"/>
  <c r="DM74" i="2" s="1"/>
  <c r="DM73" i="2" s="1"/>
  <c r="DM72" i="2" s="1"/>
  <c r="DM71" i="2" s="1"/>
  <c r="DM70" i="2" s="1"/>
  <c r="DM69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AW80" i="2"/>
  <c r="N48" i="2"/>
  <c r="AX71" i="2"/>
  <c r="O39" i="2"/>
  <c r="AW72" i="2"/>
  <c r="N40" i="2"/>
  <c r="O52" i="2"/>
  <c r="AX84" i="2"/>
  <c r="O51" i="2"/>
  <c r="AX83" i="2"/>
  <c r="O60" i="2"/>
  <c r="AX92" i="2"/>
  <c r="O59" i="2"/>
  <c r="AX91" i="2"/>
  <c r="AX82" i="2"/>
  <c r="O50" i="2"/>
  <c r="O49" i="2"/>
  <c r="AX81" i="2"/>
  <c r="N56" i="2"/>
  <c r="AW88" i="2"/>
  <c r="O57" i="2"/>
  <c r="AX89" i="2"/>
  <c r="AX98" i="2"/>
  <c r="O66" i="2"/>
  <c r="AX76" i="2"/>
  <c r="O44" i="2"/>
  <c r="O38" i="2"/>
  <c r="AX70" i="2"/>
  <c r="O45" i="2"/>
  <c r="AX77" i="2"/>
  <c r="O62" i="2"/>
  <c r="AX94" i="2"/>
  <c r="AX95" i="2"/>
  <c r="O63" i="2"/>
  <c r="O58" i="2"/>
  <c r="AX90" i="2"/>
  <c r="AA21" i="1"/>
  <c r="AW77" i="2" l="1"/>
  <c r="N45" i="2"/>
  <c r="N57" i="2"/>
  <c r="AW89" i="2"/>
  <c r="N59" i="2"/>
  <c r="AW91" i="2"/>
  <c r="AW87" i="2"/>
  <c r="N55" i="2"/>
  <c r="N39" i="2"/>
  <c r="AW71" i="2"/>
  <c r="N53" i="2"/>
  <c r="AW85" i="2"/>
  <c r="AW75" i="2"/>
  <c r="N43" i="2"/>
  <c r="N42" i="2"/>
  <c r="AW74" i="2"/>
  <c r="AW70" i="2"/>
  <c r="N38" i="2"/>
  <c r="N44" i="2"/>
  <c r="AW76" i="2"/>
  <c r="M48" i="2"/>
  <c r="AV80" i="2"/>
  <c r="DL95" i="2"/>
  <c r="DL94" i="2" s="1"/>
  <c r="DL93" i="2" s="1"/>
  <c r="DL92" i="2" s="1"/>
  <c r="DL91" i="2" s="1"/>
  <c r="DL90" i="2" s="1"/>
  <c r="DL89" i="2" s="1"/>
  <c r="DL88" i="2" s="1"/>
  <c r="DL87" i="2" s="1"/>
  <c r="DL86" i="2" s="1"/>
  <c r="DL85" i="2" s="1"/>
  <c r="DL84" i="2" s="1"/>
  <c r="DL83" i="2" s="1"/>
  <c r="DL82" i="2" s="1"/>
  <c r="DL81" i="2" s="1"/>
  <c r="DL80" i="2" s="1"/>
  <c r="DL79" i="2" s="1"/>
  <c r="DL78" i="2" s="1"/>
  <c r="DL77" i="2" s="1"/>
  <c r="DL76" i="2" s="1"/>
  <c r="DL75" i="2" s="1"/>
  <c r="DL74" i="2" s="1"/>
  <c r="DL73" i="2" s="1"/>
  <c r="DL72" i="2" s="1"/>
  <c r="DL71" i="2" s="1"/>
  <c r="DL70" i="2" s="1"/>
  <c r="DL69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N46" i="2"/>
  <c r="AW78" i="2"/>
  <c r="N54" i="2"/>
  <c r="AW86" i="2"/>
  <c r="AV88" i="2"/>
  <c r="M56" i="2"/>
  <c r="N49" i="2"/>
  <c r="AW81" i="2"/>
  <c r="N51" i="2"/>
  <c r="AW83" i="2"/>
  <c r="AW97" i="2"/>
  <c r="DK97" i="2" s="1"/>
  <c r="DK96" i="2" s="1"/>
  <c r="N65" i="2"/>
  <c r="N47" i="2"/>
  <c r="AW79" i="2"/>
  <c r="M64" i="2"/>
  <c r="AV96" i="2"/>
  <c r="N58" i="2"/>
  <c r="AW90" i="2"/>
  <c r="AW98" i="2"/>
  <c r="N66" i="2"/>
  <c r="N50" i="2"/>
  <c r="AW82" i="2"/>
  <c r="AW73" i="2"/>
  <c r="N41" i="2"/>
  <c r="M40" i="2"/>
  <c r="AV72" i="2"/>
  <c r="N60" i="2"/>
  <c r="AW92" i="2"/>
  <c r="N63" i="2"/>
  <c r="AW95" i="2"/>
  <c r="N62" i="2"/>
  <c r="AW94" i="2"/>
  <c r="N52" i="2"/>
  <c r="AW84" i="2"/>
  <c r="AW93" i="2"/>
  <c r="N61" i="2"/>
  <c r="N37" i="2"/>
  <c r="AW69" i="2"/>
  <c r="AB21" i="1"/>
  <c r="AB22" i="1"/>
  <c r="AC22" i="1" s="1"/>
  <c r="M42" i="2" l="1"/>
  <c r="AV74" i="2"/>
  <c r="AV94" i="2"/>
  <c r="M62" i="2"/>
  <c r="L64" i="2"/>
  <c r="AU96" i="2"/>
  <c r="AV81" i="2"/>
  <c r="M49" i="2"/>
  <c r="AV75" i="2"/>
  <c r="M43" i="2"/>
  <c r="AV83" i="2"/>
  <c r="M51" i="2"/>
  <c r="L56" i="2"/>
  <c r="AU88" i="2"/>
  <c r="AU80" i="2"/>
  <c r="L48" i="2"/>
  <c r="AV91" i="2"/>
  <c r="M59" i="2"/>
  <c r="M52" i="2"/>
  <c r="AV84" i="2"/>
  <c r="AV87" i="2"/>
  <c r="M55" i="2"/>
  <c r="M37" i="2"/>
  <c r="AV69" i="2"/>
  <c r="M63" i="2"/>
  <c r="AV95" i="2"/>
  <c r="AV82" i="2"/>
  <c r="M50" i="2"/>
  <c r="M47" i="2"/>
  <c r="AV79" i="2"/>
  <c r="AV78" i="2"/>
  <c r="M46" i="2"/>
  <c r="M61" i="2"/>
  <c r="AV93" i="2"/>
  <c r="AV98" i="2"/>
  <c r="M66" i="2"/>
  <c r="AV97" i="2"/>
  <c r="DJ97" i="2" s="1"/>
  <c r="DJ96" i="2" s="1"/>
  <c r="M65" i="2"/>
  <c r="M44" i="2"/>
  <c r="AV76" i="2"/>
  <c r="M53" i="2"/>
  <c r="AV85" i="2"/>
  <c r="M57" i="2"/>
  <c r="AV89" i="2"/>
  <c r="L40" i="2"/>
  <c r="AU72" i="2"/>
  <c r="M41" i="2"/>
  <c r="AV73" i="2"/>
  <c r="AV92" i="2"/>
  <c r="M60" i="2"/>
  <c r="DK95" i="2"/>
  <c r="DK94" i="2" s="1"/>
  <c r="DK93" i="2" s="1"/>
  <c r="DK92" i="2" s="1"/>
  <c r="DK91" i="2" s="1"/>
  <c r="DK90" i="2" s="1"/>
  <c r="DK89" i="2" s="1"/>
  <c r="DK88" i="2" s="1"/>
  <c r="DK87" i="2" s="1"/>
  <c r="DK86" i="2" s="1"/>
  <c r="DK85" i="2" s="1"/>
  <c r="DK84" i="2" s="1"/>
  <c r="DK83" i="2" s="1"/>
  <c r="DK82" i="2" s="1"/>
  <c r="DK81" i="2" s="1"/>
  <c r="DK80" i="2" s="1"/>
  <c r="DK79" i="2" s="1"/>
  <c r="DK78" i="2" s="1"/>
  <c r="DK77" i="2" s="1"/>
  <c r="DK76" i="2" s="1"/>
  <c r="DK75" i="2" s="1"/>
  <c r="DK74" i="2" s="1"/>
  <c r="DK73" i="2" s="1"/>
  <c r="DK72" i="2" s="1"/>
  <c r="DK71" i="2" s="1"/>
  <c r="DK70" i="2" s="1"/>
  <c r="DK69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M54" i="2"/>
  <c r="AV86" i="2"/>
  <c r="M38" i="2"/>
  <c r="AV70" i="2"/>
  <c r="M45" i="2"/>
  <c r="AV77" i="2"/>
  <c r="AV90" i="2"/>
  <c r="M58" i="2"/>
  <c r="M39" i="2"/>
  <c r="AV71" i="2"/>
  <c r="AC21" i="1"/>
  <c r="DJ95" i="2" l="1"/>
  <c r="DJ94" i="2" s="1"/>
  <c r="DJ93" i="2" s="1"/>
  <c r="DJ92" i="2" s="1"/>
  <c r="DJ91" i="2" s="1"/>
  <c r="DJ90" i="2" s="1"/>
  <c r="DJ89" i="2" s="1"/>
  <c r="DJ88" i="2" s="1"/>
  <c r="DJ87" i="2" s="1"/>
  <c r="DJ86" i="2" s="1"/>
  <c r="DJ85" i="2" s="1"/>
  <c r="DJ84" i="2" s="1"/>
  <c r="DJ83" i="2" s="1"/>
  <c r="DJ82" i="2" s="1"/>
  <c r="DJ81" i="2" s="1"/>
  <c r="DJ80" i="2" s="1"/>
  <c r="DJ79" i="2" s="1"/>
  <c r="DJ78" i="2" s="1"/>
  <c r="DJ77" i="2" s="1"/>
  <c r="DJ76" i="2" s="1"/>
  <c r="DJ75" i="2" s="1"/>
  <c r="DJ74" i="2" s="1"/>
  <c r="DJ73" i="2" s="1"/>
  <c r="DJ72" i="2" s="1"/>
  <c r="DJ71" i="2" s="1"/>
  <c r="DJ70" i="2" s="1"/>
  <c r="DJ69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AU73" i="2"/>
  <c r="L41" i="2"/>
  <c r="L38" i="2"/>
  <c r="AU70" i="2"/>
  <c r="L65" i="2"/>
  <c r="AU97" i="2"/>
  <c r="DI97" i="2" s="1"/>
  <c r="DI96" i="2" s="1"/>
  <c r="AU69" i="2"/>
  <c r="L37" i="2"/>
  <c r="AU87" i="2"/>
  <c r="L55" i="2"/>
  <c r="AU71" i="2"/>
  <c r="L39" i="2"/>
  <c r="AU86" i="2"/>
  <c r="L54" i="2"/>
  <c r="AU98" i="2"/>
  <c r="L66" i="2"/>
  <c r="L47" i="2"/>
  <c r="AU79" i="2"/>
  <c r="AT88" i="2"/>
  <c r="K56" i="2"/>
  <c r="K64" i="2"/>
  <c r="AT96" i="2"/>
  <c r="K48" i="2"/>
  <c r="AT80" i="2"/>
  <c r="L58" i="2"/>
  <c r="AU90" i="2"/>
  <c r="AU89" i="2"/>
  <c r="L57" i="2"/>
  <c r="AU82" i="2"/>
  <c r="L50" i="2"/>
  <c r="AU83" i="2"/>
  <c r="L51" i="2"/>
  <c r="L62" i="2"/>
  <c r="AU94" i="2"/>
  <c r="L44" i="2"/>
  <c r="AU76" i="2"/>
  <c r="L60" i="2"/>
  <c r="AU92" i="2"/>
  <c r="L52" i="2"/>
  <c r="AU84" i="2"/>
  <c r="AU81" i="2"/>
  <c r="L49" i="2"/>
  <c r="L53" i="2"/>
  <c r="AU85" i="2"/>
  <c r="AU91" i="2"/>
  <c r="L59" i="2"/>
  <c r="L43" i="2"/>
  <c r="AU75" i="2"/>
  <c r="L46" i="2"/>
  <c r="AU78" i="2"/>
  <c r="K40" i="2"/>
  <c r="AT72" i="2"/>
  <c r="L45" i="2"/>
  <c r="AU77" i="2"/>
  <c r="L61" i="2"/>
  <c r="AU93" i="2"/>
  <c r="L63" i="2"/>
  <c r="AU95" i="2"/>
  <c r="L42" i="2"/>
  <c r="AU74" i="2"/>
  <c r="AD21" i="1"/>
  <c r="AD22" i="1"/>
  <c r="AE22" i="1" s="1"/>
  <c r="DI95" i="2" l="1"/>
  <c r="DI94" i="2" s="1"/>
  <c r="DI93" i="2" s="1"/>
  <c r="DI92" i="2" s="1"/>
  <c r="DI91" i="2" s="1"/>
  <c r="DI90" i="2" s="1"/>
  <c r="DI89" i="2" s="1"/>
  <c r="DI88" i="2" s="1"/>
  <c r="DI87" i="2" s="1"/>
  <c r="DI86" i="2" s="1"/>
  <c r="DI85" i="2" s="1"/>
  <c r="DI84" i="2" s="1"/>
  <c r="DI83" i="2" s="1"/>
  <c r="DI82" i="2" s="1"/>
  <c r="DI81" i="2" s="1"/>
  <c r="DI80" i="2" s="1"/>
  <c r="DI79" i="2" s="1"/>
  <c r="DI78" i="2" s="1"/>
  <c r="DI77" i="2" s="1"/>
  <c r="DI76" i="2" s="1"/>
  <c r="DI75" i="2" s="1"/>
  <c r="DI74" i="2" s="1"/>
  <c r="DI73" i="2" s="1"/>
  <c r="DI72" i="2" s="1"/>
  <c r="DI71" i="2" s="1"/>
  <c r="DI70" i="2" s="1"/>
  <c r="DI69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K61" i="2"/>
  <c r="AT93" i="2"/>
  <c r="K43" i="2"/>
  <c r="AT75" i="2"/>
  <c r="K52" i="2"/>
  <c r="AT84" i="2"/>
  <c r="J48" i="2"/>
  <c r="AS80" i="2"/>
  <c r="K51" i="2"/>
  <c r="AT83" i="2"/>
  <c r="K54" i="2"/>
  <c r="AT86" i="2"/>
  <c r="K66" i="2"/>
  <c r="AT98" i="2"/>
  <c r="K45" i="2"/>
  <c r="AT77" i="2"/>
  <c r="K60" i="2"/>
  <c r="AT92" i="2"/>
  <c r="J64" i="2"/>
  <c r="AS96" i="2"/>
  <c r="K65" i="2"/>
  <c r="AT97" i="2"/>
  <c r="DH97" i="2" s="1"/>
  <c r="DH96" i="2" s="1"/>
  <c r="AT69" i="2"/>
  <c r="K37" i="2"/>
  <c r="K50" i="2"/>
  <c r="AT82" i="2"/>
  <c r="K57" i="2"/>
  <c r="AT89" i="2"/>
  <c r="J56" i="2"/>
  <c r="AS88" i="2"/>
  <c r="K39" i="2"/>
  <c r="AT71" i="2"/>
  <c r="AT91" i="2"/>
  <c r="K59" i="2"/>
  <c r="K42" i="2"/>
  <c r="AT74" i="2"/>
  <c r="J40" i="2"/>
  <c r="AS72" i="2"/>
  <c r="K53" i="2"/>
  <c r="AT85" i="2"/>
  <c r="AT76" i="2"/>
  <c r="K44" i="2"/>
  <c r="AT70" i="2"/>
  <c r="K38" i="2"/>
  <c r="AT81" i="2"/>
  <c r="K49" i="2"/>
  <c r="AT87" i="2"/>
  <c r="K55" i="2"/>
  <c r="K41" i="2"/>
  <c r="AT73" i="2"/>
  <c r="K63" i="2"/>
  <c r="AT95" i="2"/>
  <c r="K46" i="2"/>
  <c r="AT78" i="2"/>
  <c r="AT94" i="2"/>
  <c r="K62" i="2"/>
  <c r="K58" i="2"/>
  <c r="AT90" i="2"/>
  <c r="K47" i="2"/>
  <c r="AT79" i="2"/>
  <c r="AE21" i="1"/>
  <c r="DH95" i="2" l="1"/>
  <c r="DH94" i="2" s="1"/>
  <c r="DH93" i="2" s="1"/>
  <c r="DH92" i="2" s="1"/>
  <c r="DH91" i="2" s="1"/>
  <c r="DH90" i="2" s="1"/>
  <c r="DH89" i="2" s="1"/>
  <c r="DH88" i="2" s="1"/>
  <c r="DH87" i="2" s="1"/>
  <c r="DH86" i="2" s="1"/>
  <c r="DH85" i="2" s="1"/>
  <c r="DH84" i="2" s="1"/>
  <c r="DH83" i="2" s="1"/>
  <c r="DH82" i="2" s="1"/>
  <c r="DH81" i="2" s="1"/>
  <c r="DH80" i="2" s="1"/>
  <c r="DH79" i="2" s="1"/>
  <c r="DH78" i="2" s="1"/>
  <c r="DH77" i="2" s="1"/>
  <c r="DH76" i="2" s="1"/>
  <c r="DH75" i="2" s="1"/>
  <c r="DH74" i="2" s="1"/>
  <c r="DH73" i="2" s="1"/>
  <c r="DH72" i="2" s="1"/>
  <c r="DH71" i="2" s="1"/>
  <c r="DH70" i="2" s="1"/>
  <c r="DH69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I48" i="2"/>
  <c r="AR80" i="2"/>
  <c r="J49" i="2"/>
  <c r="AS81" i="2"/>
  <c r="J46" i="2"/>
  <c r="AS78" i="2"/>
  <c r="I40" i="2"/>
  <c r="AR72" i="2"/>
  <c r="I56" i="2"/>
  <c r="AR88" i="2"/>
  <c r="J65" i="2"/>
  <c r="AS97" i="2"/>
  <c r="DG97" i="2" s="1"/>
  <c r="DG96" i="2" s="1"/>
  <c r="J66" i="2"/>
  <c r="AS98" i="2"/>
  <c r="AS84" i="2"/>
  <c r="J52" i="2"/>
  <c r="J45" i="2"/>
  <c r="AS77" i="2"/>
  <c r="J38" i="2"/>
  <c r="AS70" i="2"/>
  <c r="J47" i="2"/>
  <c r="AS79" i="2"/>
  <c r="AS95" i="2"/>
  <c r="J63" i="2"/>
  <c r="AS74" i="2"/>
  <c r="J42" i="2"/>
  <c r="AS89" i="2"/>
  <c r="J57" i="2"/>
  <c r="I64" i="2"/>
  <c r="AR96" i="2"/>
  <c r="AS76" i="2"/>
  <c r="J44" i="2"/>
  <c r="AS91" i="2"/>
  <c r="J59" i="2"/>
  <c r="J54" i="2"/>
  <c r="AS86" i="2"/>
  <c r="J43" i="2"/>
  <c r="AS75" i="2"/>
  <c r="J39" i="2"/>
  <c r="AS71" i="2"/>
  <c r="AS90" i="2"/>
  <c r="J58" i="2"/>
  <c r="J41" i="2"/>
  <c r="AS73" i="2"/>
  <c r="J50" i="2"/>
  <c r="AS82" i="2"/>
  <c r="J60" i="2"/>
  <c r="AS92" i="2"/>
  <c r="AS85" i="2"/>
  <c r="J53" i="2"/>
  <c r="AS94" i="2"/>
  <c r="J62" i="2"/>
  <c r="J55" i="2"/>
  <c r="AS87" i="2"/>
  <c r="AS69" i="2"/>
  <c r="J37" i="2"/>
  <c r="J51" i="2"/>
  <c r="AS83" i="2"/>
  <c r="J61" i="2"/>
  <c r="AS93" i="2"/>
  <c r="AF21" i="1"/>
  <c r="AF22" i="1"/>
  <c r="AG22" i="1" s="1"/>
  <c r="AR69" i="2" l="1"/>
  <c r="I37" i="2"/>
  <c r="I60" i="2"/>
  <c r="AR92" i="2"/>
  <c r="I43" i="2"/>
  <c r="AR75" i="2"/>
  <c r="H64" i="2"/>
  <c r="AP96" i="2" s="1"/>
  <c r="AQ96" i="2"/>
  <c r="I47" i="2"/>
  <c r="AR79" i="2"/>
  <c r="AR98" i="2"/>
  <c r="I66" i="2"/>
  <c r="H66" i="2" s="1"/>
  <c r="AR78" i="2"/>
  <c r="I46" i="2"/>
  <c r="H40" i="2"/>
  <c r="AP72" i="2" s="1"/>
  <c r="AQ72" i="2"/>
  <c r="I62" i="2"/>
  <c r="AR94" i="2"/>
  <c r="I44" i="2"/>
  <c r="AR76" i="2"/>
  <c r="I50" i="2"/>
  <c r="AR82" i="2"/>
  <c r="I38" i="2"/>
  <c r="AR70" i="2"/>
  <c r="AR97" i="2"/>
  <c r="DF97" i="2" s="1"/>
  <c r="DF96" i="2" s="1"/>
  <c r="I65" i="2"/>
  <c r="I49" i="2"/>
  <c r="AR81" i="2"/>
  <c r="I63" i="2"/>
  <c r="AR95" i="2"/>
  <c r="I55" i="2"/>
  <c r="AR87" i="2"/>
  <c r="AR89" i="2"/>
  <c r="I57" i="2"/>
  <c r="I58" i="2"/>
  <c r="AR90" i="2"/>
  <c r="I52" i="2"/>
  <c r="AR84" i="2"/>
  <c r="AR71" i="2"/>
  <c r="I39" i="2"/>
  <c r="DG95" i="2"/>
  <c r="DG94" i="2" s="1"/>
  <c r="DG93" i="2" s="1"/>
  <c r="DG92" i="2" s="1"/>
  <c r="DG91" i="2" s="1"/>
  <c r="DG90" i="2" s="1"/>
  <c r="DG89" i="2" s="1"/>
  <c r="DG88" i="2" s="1"/>
  <c r="DG87" i="2" s="1"/>
  <c r="DG86" i="2" s="1"/>
  <c r="DG85" i="2" s="1"/>
  <c r="DG84" i="2" s="1"/>
  <c r="DG83" i="2" s="1"/>
  <c r="DG82" i="2" s="1"/>
  <c r="DG81" i="2" s="1"/>
  <c r="DG80" i="2" s="1"/>
  <c r="DG79" i="2" s="1"/>
  <c r="DG78" i="2" s="1"/>
  <c r="DG77" i="2" s="1"/>
  <c r="DG76" i="2" s="1"/>
  <c r="DG75" i="2" s="1"/>
  <c r="DG74" i="2" s="1"/>
  <c r="DG73" i="2" s="1"/>
  <c r="DG72" i="2" s="1"/>
  <c r="DG71" i="2" s="1"/>
  <c r="DG70" i="2" s="1"/>
  <c r="DG69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I61" i="2"/>
  <c r="AR93" i="2"/>
  <c r="I41" i="2"/>
  <c r="AR73" i="2"/>
  <c r="I54" i="2"/>
  <c r="AR86" i="2"/>
  <c r="AR85" i="2"/>
  <c r="I53" i="2"/>
  <c r="AR91" i="2"/>
  <c r="I59" i="2"/>
  <c r="I42" i="2"/>
  <c r="AR74" i="2"/>
  <c r="AR83" i="2"/>
  <c r="I51" i="2"/>
  <c r="I45" i="2"/>
  <c r="AR77" i="2"/>
  <c r="AQ88" i="2"/>
  <c r="H56" i="2"/>
  <c r="AP88" i="2" s="1"/>
  <c r="H48" i="2"/>
  <c r="AP80" i="2" s="1"/>
  <c r="AQ80" i="2"/>
  <c r="AG21" i="1"/>
  <c r="H51" i="2" l="1"/>
  <c r="AP83" i="2" s="1"/>
  <c r="AQ83" i="2"/>
  <c r="H38" i="2"/>
  <c r="AP70" i="2" s="1"/>
  <c r="AQ70" i="2"/>
  <c r="H52" i="2"/>
  <c r="AP84" i="2" s="1"/>
  <c r="AQ84" i="2"/>
  <c r="H46" i="2"/>
  <c r="AP78" i="2" s="1"/>
  <c r="AQ78" i="2"/>
  <c r="H42" i="2"/>
  <c r="AP74" i="2" s="1"/>
  <c r="AQ74" i="2"/>
  <c r="H43" i="2"/>
  <c r="AP75" i="2" s="1"/>
  <c r="AQ75" i="2"/>
  <c r="AP98" i="2"/>
  <c r="AQ98" i="2"/>
  <c r="H54" i="2"/>
  <c r="AP86" i="2" s="1"/>
  <c r="AQ86" i="2"/>
  <c r="H50" i="2"/>
  <c r="AP82" i="2" s="1"/>
  <c r="AQ82" i="2"/>
  <c r="H58" i="2"/>
  <c r="AP90" i="2" s="1"/>
  <c r="AQ90" i="2"/>
  <c r="H49" i="2"/>
  <c r="AP81" i="2" s="1"/>
  <c r="AQ81" i="2"/>
  <c r="AQ76" i="2"/>
  <c r="H44" i="2"/>
  <c r="AP76" i="2" s="1"/>
  <c r="H60" i="2"/>
  <c r="AP92" i="2" s="1"/>
  <c r="AQ92" i="2"/>
  <c r="H55" i="2"/>
  <c r="AP87" i="2" s="1"/>
  <c r="AQ87" i="2"/>
  <c r="H63" i="2"/>
  <c r="AP95" i="2" s="1"/>
  <c r="AQ95" i="2"/>
  <c r="AQ91" i="2"/>
  <c r="H59" i="2"/>
  <c r="AP91" i="2" s="1"/>
  <c r="H61" i="2"/>
  <c r="AP93" i="2" s="1"/>
  <c r="AQ93" i="2"/>
  <c r="H53" i="2"/>
  <c r="AP85" i="2" s="1"/>
  <c r="AQ85" i="2"/>
  <c r="AQ89" i="2"/>
  <c r="H57" i="2"/>
  <c r="AP89" i="2" s="1"/>
  <c r="AQ97" i="2"/>
  <c r="DE97" i="2" s="1"/>
  <c r="DE96" i="2" s="1"/>
  <c r="H65" i="2"/>
  <c r="AP97" i="2" s="1"/>
  <c r="DD97" i="2" s="1"/>
  <c r="DD96" i="2" s="1"/>
  <c r="DD95" i="2" s="1"/>
  <c r="DD94" i="2" s="1"/>
  <c r="DD93" i="2" s="1"/>
  <c r="H37" i="2"/>
  <c r="AP69" i="2" s="1"/>
  <c r="AQ69" i="2"/>
  <c r="AQ73" i="2"/>
  <c r="H41" i="2"/>
  <c r="AP73" i="2" s="1"/>
  <c r="AQ77" i="2"/>
  <c r="H45" i="2"/>
  <c r="AP77" i="2" s="1"/>
  <c r="H39" i="2"/>
  <c r="AP71" i="2" s="1"/>
  <c r="AQ71" i="2"/>
  <c r="DF95" i="2"/>
  <c r="DF94" i="2" s="1"/>
  <c r="DF93" i="2" s="1"/>
  <c r="DF92" i="2" s="1"/>
  <c r="DF91" i="2" s="1"/>
  <c r="DF90" i="2" s="1"/>
  <c r="DF89" i="2" s="1"/>
  <c r="DF88" i="2" s="1"/>
  <c r="DF87" i="2" s="1"/>
  <c r="DF86" i="2" s="1"/>
  <c r="DF85" i="2" s="1"/>
  <c r="DF84" i="2" s="1"/>
  <c r="DF83" i="2" s="1"/>
  <c r="DF82" i="2" s="1"/>
  <c r="DF81" i="2" s="1"/>
  <c r="DF80" i="2" s="1"/>
  <c r="DF79" i="2" s="1"/>
  <c r="DF78" i="2" s="1"/>
  <c r="DF77" i="2" s="1"/>
  <c r="DF76" i="2" s="1"/>
  <c r="DF75" i="2" s="1"/>
  <c r="DF74" i="2" s="1"/>
  <c r="DF73" i="2" s="1"/>
  <c r="DF72" i="2" s="1"/>
  <c r="DF71" i="2" s="1"/>
  <c r="DF70" i="2" s="1"/>
  <c r="DF69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H62" i="2"/>
  <c r="AP94" i="2" s="1"/>
  <c r="AQ94" i="2"/>
  <c r="AQ79" i="2"/>
  <c r="H47" i="2"/>
  <c r="AP79" i="2" s="1"/>
  <c r="AH21" i="1"/>
  <c r="AH22" i="1"/>
  <c r="AI22" i="1" s="1"/>
  <c r="AI16" i="1" s="1"/>
  <c r="DE95" i="2" l="1"/>
  <c r="DE94" i="2" s="1"/>
  <c r="DE93" i="2" s="1"/>
  <c r="DE92" i="2" s="1"/>
  <c r="DE91" i="2" s="1"/>
  <c r="DE90" i="2" s="1"/>
  <c r="DE89" i="2" s="1"/>
  <c r="DE88" i="2" s="1"/>
  <c r="DE87" i="2" s="1"/>
  <c r="DE86" i="2" s="1"/>
  <c r="DE85" i="2" s="1"/>
  <c r="DE84" i="2" s="1"/>
  <c r="DE83" i="2" s="1"/>
  <c r="DE82" i="2" s="1"/>
  <c r="DE81" i="2" s="1"/>
  <c r="DE80" i="2" s="1"/>
  <c r="DE79" i="2" s="1"/>
  <c r="DE78" i="2" s="1"/>
  <c r="DE77" i="2" s="1"/>
  <c r="DE76" i="2" s="1"/>
  <c r="DE75" i="2" s="1"/>
  <c r="DE74" i="2" s="1"/>
  <c r="DE73" i="2" s="1"/>
  <c r="DE72" i="2" s="1"/>
  <c r="DE71" i="2" s="1"/>
  <c r="DE70" i="2" s="1"/>
  <c r="DE69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DD92" i="2"/>
  <c r="DD91" i="2" s="1"/>
  <c r="DD90" i="2" s="1"/>
  <c r="DD89" i="2" s="1"/>
  <c r="DD88" i="2" s="1"/>
  <c r="DD87" i="2" s="1"/>
  <c r="DD86" i="2" s="1"/>
  <c r="DD85" i="2" s="1"/>
  <c r="DD84" i="2" s="1"/>
  <c r="DD83" i="2" s="1"/>
  <c r="DD82" i="2" s="1"/>
  <c r="DD81" i="2" s="1"/>
  <c r="DD80" i="2" s="1"/>
  <c r="DD79" i="2" s="1"/>
  <c r="DD78" i="2" s="1"/>
  <c r="DD77" i="2" s="1"/>
  <c r="DD76" i="2" s="1"/>
  <c r="DD75" i="2" s="1"/>
  <c r="DD74" i="2" s="1"/>
  <c r="DD73" i="2" s="1"/>
  <c r="DD72" i="2" s="1"/>
  <c r="DD71" i="2" s="1"/>
  <c r="DD70" i="2" s="1"/>
  <c r="DD69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AI21" i="1"/>
  <c r="AH16" i="1" s="1"/>
  <c r="AG16" i="1" s="1"/>
  <c r="AF16" i="1" s="1"/>
  <c r="AE16" i="1" s="1"/>
  <c r="AD16" i="1" s="1"/>
  <c r="AC16" i="1" s="1"/>
  <c r="AB16" i="1" s="1"/>
  <c r="AA16" i="1" s="1"/>
  <c r="Z16" i="1" s="1"/>
  <c r="Y16" i="1" s="1"/>
  <c r="X16" i="1" s="1"/>
  <c r="W16" i="1" s="1"/>
  <c r="V16" i="1" s="1"/>
  <c r="U16" i="1" s="1"/>
  <c r="T16" i="1" s="1"/>
  <c r="S16" i="1" s="1"/>
  <c r="R16" i="1" s="1"/>
  <c r="Q16" i="1" s="1"/>
  <c r="P16" i="1" s="1"/>
  <c r="O16" i="1" s="1"/>
  <c r="N16" i="1" s="1"/>
  <c r="M16" i="1" s="1"/>
  <c r="L16" i="1" s="1"/>
  <c r="K16" i="1" s="1"/>
  <c r="J16" i="1" s="1"/>
  <c r="I16" i="1" s="1"/>
  <c r="H16" i="1" s="1"/>
  <c r="G16" i="1" s="1"/>
</calcChain>
</file>

<file path=xl/sharedStrings.xml><?xml version="1.0" encoding="utf-8"?>
<sst xmlns="http://schemas.openxmlformats.org/spreadsheetml/2006/main" count="48" uniqueCount="29">
  <si>
    <t>L</t>
  </si>
  <si>
    <t>dx</t>
  </si>
  <si>
    <t>t</t>
  </si>
  <si>
    <t>dt</t>
  </si>
  <si>
    <t>Cp</t>
  </si>
  <si>
    <t>ro</t>
  </si>
  <si>
    <t>lamda</t>
  </si>
  <si>
    <t>T_start</t>
  </si>
  <si>
    <t>T</t>
  </si>
  <si>
    <t>T_end</t>
  </si>
  <si>
    <t>T_iter</t>
  </si>
  <si>
    <t>A</t>
  </si>
  <si>
    <t>q</t>
  </si>
  <si>
    <t>B</t>
  </si>
  <si>
    <t>C</t>
  </si>
  <si>
    <t>α</t>
  </si>
  <si>
    <t>β</t>
  </si>
  <si>
    <t>F</t>
  </si>
  <si>
    <t>H</t>
  </si>
  <si>
    <t>dy</t>
  </si>
  <si>
    <t>Параметры расчетной области и решателя</t>
  </si>
  <si>
    <t>Физические ведичины</t>
  </si>
  <si>
    <t>X</t>
  </si>
  <si>
    <t>Y</t>
  </si>
  <si>
    <t>n+1</t>
  </si>
  <si>
    <t>Fi</t>
  </si>
  <si>
    <t>n+0,5</t>
  </si>
  <si>
    <r>
      <t>β</t>
    </r>
    <r>
      <rPr>
        <sz val="36"/>
        <color theme="1"/>
        <rFont val="Calibri"/>
        <family val="2"/>
        <charset val="204"/>
      </rPr>
      <t>i</t>
    </r>
  </si>
  <si>
    <r>
      <rPr>
        <sz val="48"/>
        <color theme="1"/>
        <rFont val="Times New Roman"/>
        <family val="1"/>
        <charset val="204"/>
      </rPr>
      <t>α</t>
    </r>
    <r>
      <rPr>
        <sz val="36"/>
        <color theme="1"/>
        <rFont val="Calibri"/>
        <family val="2"/>
        <charset val="204"/>
      </rPr>
      <t>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</si>
</sst>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"/>
    <numFmt numFmtId="166" formatCode="0E+00"/>
    <numFmt numFmtId="167" formatCode="0.000"/>
    <numFmt numFmtId="168" formatCode="0.0E+00"/>
    <numFmt numFmtId="169" formatCode="0.E+0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</font>
    <font>
      <sz val="48"/>
      <color theme="1"/>
      <name val="Times New Roman"/>
      <family val="1"/>
      <charset val="204"/>
    </font>
    <font>
      <sz val="48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1" xfId="0" applyNumberFormat="1" applyBorder="1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2" borderId="1" xfId="0" applyFill="1" applyBorder="1"/>
    <xf numFmtId="2" fontId="0" fillId="2" borderId="1" xfId="0" applyNumberFormat="1" applyFill="1" applyBorder="1"/>
    <xf numFmtId="0" fontId="0" fillId="3" borderId="1" xfId="0" applyFill="1" applyBorder="1"/>
    <xf numFmtId="0" fontId="0" fillId="4" borderId="1" xfId="0" applyFill="1" applyBorder="1"/>
    <xf numFmtId="165" fontId="0" fillId="0" borderId="1" xfId="0" applyNumberFormat="1" applyBorder="1"/>
    <xf numFmtId="166" fontId="0" fillId="4" borderId="1" xfId="0" applyNumberFormat="1" applyFill="1" applyBorder="1"/>
    <xf numFmtId="166" fontId="0" fillId="3" borderId="1" xfId="0" applyNumberFormat="1" applyFill="1" applyBorder="1"/>
    <xf numFmtId="169" fontId="0" fillId="0" borderId="1" xfId="0" applyNumberFormat="1" applyBorder="1"/>
    <xf numFmtId="0" fontId="0" fillId="5" borderId="1" xfId="0" applyFill="1" applyBorder="1"/>
    <xf numFmtId="0" fontId="0" fillId="6" borderId="1" xfId="0" applyFill="1" applyBorder="1"/>
    <xf numFmtId="165" fontId="0" fillId="4" borderId="1" xfId="0" applyNumberFormat="1" applyFill="1" applyBorder="1"/>
    <xf numFmtId="169" fontId="0" fillId="4" borderId="1" xfId="0" applyNumberFormat="1" applyFill="1" applyBorder="1"/>
    <xf numFmtId="164" fontId="0" fillId="5" borderId="1" xfId="0" applyNumberFormat="1" applyFill="1" applyBorder="1"/>
    <xf numFmtId="0" fontId="0" fillId="7" borderId="1" xfId="0" applyFill="1" applyBorder="1"/>
    <xf numFmtId="165" fontId="0" fillId="3" borderId="1" xfId="0" applyNumberFormat="1" applyFill="1" applyBorder="1"/>
    <xf numFmtId="0" fontId="0" fillId="5" borderId="1" xfId="0" applyFill="1" applyBorder="1" applyAlignment="1">
      <alignment horizontal="center" vertical="top" wrapText="1"/>
    </xf>
    <xf numFmtId="0" fontId="0" fillId="6" borderId="1" xfId="0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1D'!$F$13:$AJ$13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1D'!$F$14:$AJ$14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3131456"/>
        <c:axId val="-1873129824"/>
      </c:scatterChart>
      <c:valAx>
        <c:axId val="-187313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73129824"/>
        <c:crosses val="autoZero"/>
        <c:crossBetween val="midCat"/>
      </c:valAx>
      <c:valAx>
        <c:axId val="-187312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7313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2D'!$G$34:$AJ$34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2D'!$G$19:$AJ$19</c:f>
              <c:numCache>
                <c:formatCode>0.0</c:formatCode>
                <c:ptCount val="30"/>
                <c:pt idx="0" formatCode="General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</c:numCache>
            </c:numRef>
          </c:yVal>
          <c:smooth val="0"/>
        </c:ser>
        <c:ser>
          <c:idx val="1"/>
          <c:order val="1"/>
          <c:tx>
            <c:v>1D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1D'!$F$13:$AJ$13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1D'!$F$14:$AJ$14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3132544"/>
        <c:axId val="-1873119488"/>
      </c:scatterChart>
      <c:valAx>
        <c:axId val="-187313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73119488"/>
        <c:crosses val="autoZero"/>
        <c:crossBetween val="midCat"/>
      </c:valAx>
      <c:valAx>
        <c:axId val="-187311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7313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-1</xdr:colOff>
      <xdr:row>25</xdr:row>
      <xdr:rowOff>9523</xdr:rowOff>
    </xdr:from>
    <xdr:to>
      <xdr:col>15</xdr:col>
      <xdr:colOff>612321</xdr:colOff>
      <xdr:row>44</xdr:row>
      <xdr:rowOff>13606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0.12361</cdr:x>
      <cdr:y>0.11496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0800" y="50800"/>
          <a:ext cx="514350" cy="2645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T,</a:t>
          </a:r>
          <a:r>
            <a:rPr lang="en-US" sz="1100" baseline="0"/>
            <a:t> [C]</a:t>
          </a:r>
          <a:endParaRPr lang="ru-RU" sz="1100"/>
        </a:p>
      </cdr:txBody>
    </cdr:sp>
  </cdr:relSizeAnchor>
  <cdr:relSizeAnchor xmlns:cdr="http://schemas.openxmlformats.org/drawingml/2006/chartDrawing">
    <cdr:from>
      <cdr:x>0.91763</cdr:x>
      <cdr:y>0.92008</cdr:y>
    </cdr:from>
    <cdr:to>
      <cdr:x>0.99815</cdr:x>
      <cdr:y>0.99309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715126" y="3333989"/>
          <a:ext cx="589244" cy="2645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</a:t>
          </a:r>
          <a:r>
            <a:rPr lang="en-US" sz="1100" baseline="0"/>
            <a:t> [m]</a:t>
          </a:r>
          <a:endParaRPr lang="ru-RU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2</xdr:row>
      <xdr:rowOff>12326</xdr:rowOff>
    </xdr:from>
    <xdr:to>
      <xdr:col>56</xdr:col>
      <xdr:colOff>0</xdr:colOff>
      <xdr:row>34</xdr:row>
      <xdr:rowOff>11206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0.00855</cdr:x>
      <cdr:y>0.01085</cdr:y>
    </cdr:from>
    <cdr:to>
      <cdr:x>0.09573</cdr:x>
      <cdr:y>0.16088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9647" y="6611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0.00484</cdr:x>
      <cdr:y>0.00098</cdr:y>
    </cdr:from>
    <cdr:to>
      <cdr:x>0.08366</cdr:x>
      <cdr:y>0.05209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5977"/>
          <a:ext cx="826634" cy="31149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/>
            <a:t>T,</a:t>
          </a:r>
          <a:r>
            <a:rPr lang="en-US" sz="1400" baseline="0"/>
            <a:t> [C]</a:t>
          </a:r>
          <a:endParaRPr lang="ru-RU" sz="1400"/>
        </a:p>
      </cdr:txBody>
    </cdr:sp>
  </cdr:relSizeAnchor>
  <cdr:relSizeAnchor xmlns:cdr="http://schemas.openxmlformats.org/drawingml/2006/chartDrawing">
    <cdr:from>
      <cdr:x>0.92735</cdr:x>
      <cdr:y>0.93684</cdr:y>
    </cdr:from>
    <cdr:to>
      <cdr:x>0.99929</cdr:x>
      <cdr:y>0.98794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9726706" y="5709898"/>
          <a:ext cx="754514" cy="31149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/>
            <a:t>L,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4"/>
  <sheetViews>
    <sheetView topLeftCell="D1" zoomScale="70" zoomScaleNormal="70" workbookViewId="0">
      <selection activeCell="G14" sqref="G14:AI14"/>
    </sheetView>
  </sheetViews>
  <sheetFormatPr defaultRowHeight="15" x14ac:dyDescent="0.25"/>
  <sheetData>
    <row r="3" spans="2:36" x14ac:dyDescent="0.25">
      <c r="B3" s="1" t="s">
        <v>0</v>
      </c>
      <c r="C3" s="2">
        <v>0.1</v>
      </c>
    </row>
    <row r="4" spans="2:36" x14ac:dyDescent="0.25">
      <c r="B4" s="1" t="s">
        <v>1</v>
      </c>
      <c r="C4" s="3">
        <f>C3/30</f>
        <v>3.3333333333333335E-3</v>
      </c>
      <c r="D4">
        <v>0.10333333333333335</v>
      </c>
    </row>
    <row r="5" spans="2:36" x14ac:dyDescent="0.25">
      <c r="B5" s="1" t="s">
        <v>2</v>
      </c>
      <c r="C5" s="4">
        <v>60</v>
      </c>
      <c r="D5">
        <v>62</v>
      </c>
    </row>
    <row r="6" spans="2:36" x14ac:dyDescent="0.25">
      <c r="B6" s="1" t="s">
        <v>3</v>
      </c>
      <c r="C6" s="4">
        <f>2</f>
        <v>2</v>
      </c>
    </row>
    <row r="7" spans="2:36" x14ac:dyDescent="0.25">
      <c r="C7" s="5"/>
    </row>
    <row r="8" spans="2:36" x14ac:dyDescent="0.25">
      <c r="C8" s="5"/>
    </row>
    <row r="9" spans="2:36" x14ac:dyDescent="0.25">
      <c r="B9" s="1" t="s">
        <v>4</v>
      </c>
      <c r="C9" s="2">
        <v>460</v>
      </c>
    </row>
    <row r="10" spans="2:36" x14ac:dyDescent="0.25">
      <c r="B10" s="1" t="s">
        <v>5</v>
      </c>
      <c r="C10" s="2">
        <v>7800</v>
      </c>
    </row>
    <row r="11" spans="2:36" x14ac:dyDescent="0.25">
      <c r="B11" s="1" t="s">
        <v>6</v>
      </c>
      <c r="C11" s="2">
        <v>46</v>
      </c>
    </row>
    <row r="12" spans="2:36" x14ac:dyDescent="0.25">
      <c r="C12" s="5"/>
      <c r="F12" s="5">
        <v>1</v>
      </c>
      <c r="G12" s="5">
        <v>2</v>
      </c>
      <c r="H12" s="5">
        <v>3</v>
      </c>
      <c r="I12" s="5">
        <v>4</v>
      </c>
      <c r="J12" s="5">
        <v>5</v>
      </c>
      <c r="K12" s="5">
        <v>6</v>
      </c>
      <c r="L12" s="5">
        <v>7</v>
      </c>
      <c r="M12" s="5">
        <v>8</v>
      </c>
      <c r="N12" s="5">
        <v>9</v>
      </c>
      <c r="O12" s="5">
        <v>10</v>
      </c>
      <c r="P12" s="5">
        <v>11</v>
      </c>
      <c r="Q12" s="5">
        <v>12</v>
      </c>
      <c r="R12" s="5">
        <v>13</v>
      </c>
      <c r="S12" s="5">
        <v>14</v>
      </c>
      <c r="T12" s="5">
        <v>15</v>
      </c>
      <c r="U12" s="5">
        <v>16</v>
      </c>
      <c r="V12" s="5">
        <v>17</v>
      </c>
      <c r="W12" s="5">
        <v>18</v>
      </c>
      <c r="X12" s="5">
        <v>19</v>
      </c>
      <c r="Y12" s="5">
        <v>20</v>
      </c>
      <c r="Z12" s="5">
        <v>21</v>
      </c>
      <c r="AA12" s="5">
        <v>22</v>
      </c>
      <c r="AB12" s="5">
        <v>23</v>
      </c>
      <c r="AC12" s="5">
        <v>24</v>
      </c>
      <c r="AD12" s="5">
        <v>25</v>
      </c>
      <c r="AE12" s="5">
        <v>26</v>
      </c>
      <c r="AF12" s="5">
        <v>27</v>
      </c>
      <c r="AG12" s="5">
        <v>28</v>
      </c>
      <c r="AH12" s="5">
        <v>29</v>
      </c>
      <c r="AI12" s="5">
        <v>30</v>
      </c>
      <c r="AJ12" s="5">
        <v>31</v>
      </c>
    </row>
    <row r="13" spans="2:36" x14ac:dyDescent="0.25">
      <c r="C13" s="5"/>
      <c r="E13" t="s">
        <v>0</v>
      </c>
      <c r="F13" s="6">
        <v>0</v>
      </c>
      <c r="G13" s="6">
        <f>$C$4+F13</f>
        <v>3.3333333333333335E-3</v>
      </c>
      <c r="H13" s="6">
        <f t="shared" ref="H13:AJ13" si="0">$C$4+G13</f>
        <v>6.6666666666666671E-3</v>
      </c>
      <c r="I13" s="6">
        <f t="shared" si="0"/>
        <v>0.01</v>
      </c>
      <c r="J13" s="6">
        <f t="shared" si="0"/>
        <v>1.3333333333333334E-2</v>
      </c>
      <c r="K13" s="6">
        <f t="shared" si="0"/>
        <v>1.6666666666666666E-2</v>
      </c>
      <c r="L13" s="6">
        <f t="shared" si="0"/>
        <v>0.02</v>
      </c>
      <c r="M13" s="6">
        <f t="shared" si="0"/>
        <v>2.3333333333333334E-2</v>
      </c>
      <c r="N13" s="6">
        <f t="shared" si="0"/>
        <v>2.6666666666666668E-2</v>
      </c>
      <c r="O13" s="6">
        <f t="shared" si="0"/>
        <v>3.0000000000000002E-2</v>
      </c>
      <c r="P13" s="6">
        <f t="shared" si="0"/>
        <v>3.3333333333333333E-2</v>
      </c>
      <c r="Q13" s="6">
        <f t="shared" si="0"/>
        <v>3.6666666666666667E-2</v>
      </c>
      <c r="R13" s="6">
        <f t="shared" si="0"/>
        <v>0.04</v>
      </c>
      <c r="S13" s="6">
        <f t="shared" si="0"/>
        <v>4.3333333333333335E-2</v>
      </c>
      <c r="T13" s="6">
        <f t="shared" si="0"/>
        <v>4.6666666666666669E-2</v>
      </c>
      <c r="U13" s="6">
        <f t="shared" si="0"/>
        <v>0.05</v>
      </c>
      <c r="V13" s="6">
        <f t="shared" si="0"/>
        <v>5.3333333333333337E-2</v>
      </c>
      <c r="W13" s="6">
        <f t="shared" si="0"/>
        <v>5.6666666666666671E-2</v>
      </c>
      <c r="X13" s="6">
        <f t="shared" si="0"/>
        <v>6.0000000000000005E-2</v>
      </c>
      <c r="Y13" s="6">
        <f t="shared" si="0"/>
        <v>6.3333333333333339E-2</v>
      </c>
      <c r="Z13" s="6">
        <f t="shared" si="0"/>
        <v>6.6666666666666666E-2</v>
      </c>
      <c r="AA13" s="6">
        <f t="shared" si="0"/>
        <v>6.9999999999999993E-2</v>
      </c>
      <c r="AB13" s="6">
        <f t="shared" si="0"/>
        <v>7.333333333333332E-2</v>
      </c>
      <c r="AC13" s="6">
        <f t="shared" si="0"/>
        <v>7.6666666666666647E-2</v>
      </c>
      <c r="AD13" s="6">
        <f t="shared" si="0"/>
        <v>7.9999999999999974E-2</v>
      </c>
      <c r="AE13" s="6">
        <f t="shared" si="0"/>
        <v>8.3333333333333301E-2</v>
      </c>
      <c r="AF13" s="6">
        <f t="shared" si="0"/>
        <v>8.6666666666666628E-2</v>
      </c>
      <c r="AG13" s="6">
        <f t="shared" si="0"/>
        <v>8.9999999999999955E-2</v>
      </c>
      <c r="AH13" s="6">
        <f t="shared" si="0"/>
        <v>9.3333333333333282E-2</v>
      </c>
      <c r="AI13" s="6">
        <f t="shared" si="0"/>
        <v>9.6666666666666609E-2</v>
      </c>
      <c r="AJ13" s="6">
        <f t="shared" si="0"/>
        <v>9.9999999999999936E-2</v>
      </c>
    </row>
    <row r="14" spans="2:36" x14ac:dyDescent="0.25">
      <c r="B14" s="1" t="s">
        <v>7</v>
      </c>
      <c r="C14" s="2">
        <v>300</v>
      </c>
      <c r="E14" t="s">
        <v>8</v>
      </c>
      <c r="F14" s="5">
        <v>300</v>
      </c>
      <c r="G14" s="5">
        <v>280.35167641066431</v>
      </c>
      <c r="H14" s="5">
        <v>260.8717063164483</v>
      </c>
      <c r="I14" s="5">
        <v>241.72522650740132</v>
      </c>
      <c r="J14" s="5">
        <v>223.07105882213924</v>
      </c>
      <c r="K14" s="5">
        <v>205.05884148220761</v>
      </c>
      <c r="L14" s="5">
        <v>187.82648705928517</v>
      </c>
      <c r="M14" s="5">
        <v>171.4980444715784</v>
      </c>
      <c r="N14" s="5">
        <v>156.18201874307198</v>
      </c>
      <c r="O14" s="5">
        <v>141.97017644810035</v>
      </c>
      <c r="P14" s="5">
        <v>128.93683876697091</v>
      </c>
      <c r="Q14" s="5">
        <v>117.13863978503235</v>
      </c>
      <c r="R14" s="5">
        <v>106.61470672871378</v>
      </c>
      <c r="S14" s="5">
        <v>97.387202527873725</v>
      </c>
      <c r="T14" s="5">
        <v>89.462160242990052</v>
      </c>
      <c r="U14" s="5">
        <v>82.830533813546708</v>
      </c>
      <c r="V14" s="5">
        <v>77.469390089732968</v>
      </c>
      <c r="W14" s="5">
        <v>73.343172579225552</v>
      </c>
      <c r="X14" s="5">
        <v>70.404976796274354</v>
      </c>
      <c r="Y14" s="5">
        <v>68.597789324133842</v>
      </c>
      <c r="Z14" s="5">
        <v>67.855656364940188</v>
      </c>
      <c r="AA14" s="5">
        <v>68.104761340447936</v>
      </c>
      <c r="AB14" s="5">
        <v>69.26440384241495</v>
      </c>
      <c r="AC14" s="5">
        <v>71.247882961267763</v>
      </c>
      <c r="AD14" s="5">
        <v>73.963296091004551</v>
      </c>
      <c r="AE14" s="5">
        <v>77.314269394680196</v>
      </c>
      <c r="AF14" s="5">
        <v>81.200638231069192</v>
      </c>
      <c r="AG14" s="5">
        <v>85.519095308103189</v>
      </c>
      <c r="AH14" s="5">
        <v>90.163821710595016</v>
      </c>
      <c r="AI14" s="5">
        <v>95.027111987863847</v>
      </c>
      <c r="AJ14" s="5">
        <v>100</v>
      </c>
    </row>
    <row r="15" spans="2:36" x14ac:dyDescent="0.25">
      <c r="B15" s="1" t="s">
        <v>9</v>
      </c>
      <c r="C15" s="2">
        <v>100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</row>
    <row r="16" spans="2:36" x14ac:dyDescent="0.25">
      <c r="C16" s="5"/>
      <c r="E16" t="s">
        <v>10</v>
      </c>
      <c r="F16" s="5"/>
      <c r="G16" s="7">
        <f>G21*H16+G22</f>
        <v>280.72433416029071</v>
      </c>
      <c r="H16" s="7">
        <f>H21*I16+H22</f>
        <v>261.61015334541958</v>
      </c>
      <c r="I16" s="7">
        <f t="shared" ref="I16:AF16" si="1">I21*J16+I22</f>
        <v>242.81596624310268</v>
      </c>
      <c r="J16" s="7">
        <f t="shared" si="1"/>
        <v>224.49443302625639</v>
      </c>
      <c r="K16" s="7">
        <f t="shared" si="1"/>
        <v>206.7896952978609</v>
      </c>
      <c r="L16" s="7">
        <f t="shared" si="1"/>
        <v>189.83499422291521</v>
      </c>
      <c r="M16" s="7">
        <f t="shared" si="1"/>
        <v>173.75064625220924</v>
      </c>
      <c r="N16" s="7">
        <f t="shared" si="1"/>
        <v>158.64242571977661</v>
      </c>
      <c r="O16" s="7">
        <f t="shared" si="1"/>
        <v>144.600381543916</v>
      </c>
      <c r="P16" s="7">
        <f t="shared" si="1"/>
        <v>131.69809290957548</v>
      </c>
      <c r="Q16" s="7">
        <f t="shared" si="1"/>
        <v>119.99234773703029</v>
      </c>
      <c r="R16" s="7">
        <f t="shared" si="1"/>
        <v>109.52320934368417</v>
      </c>
      <c r="S16" s="7">
        <f t="shared" si="1"/>
        <v>100.31442208349191</v>
      </c>
      <c r="T16" s="7">
        <f t="shared" si="1"/>
        <v>92.374096630734215</v>
      </c>
      <c r="U16" s="7">
        <f t="shared" si="1"/>
        <v>85.695610279332314</v>
      </c>
      <c r="V16" s="7">
        <f t="shared" si="1"/>
        <v>80.258657063104167</v>
      </c>
      <c r="W16" s="7">
        <f t="shared" si="1"/>
        <v>76.030386202003541</v>
      </c>
      <c r="X16" s="7">
        <f t="shared" si="1"/>
        <v>72.966574577440028</v>
      </c>
      <c r="Y16" s="7">
        <f t="shared" si="1"/>
        <v>71.012788658048322</v>
      </c>
      <c r="Z16" s="7">
        <f t="shared" si="1"/>
        <v>70.105502450019529</v>
      </c>
      <c r="AA16" s="7">
        <f t="shared" si="1"/>
        <v>70.173149545525121</v>
      </c>
      <c r="AB16" s="7">
        <f t="shared" si="1"/>
        <v>71.137098196564153</v>
      </c>
      <c r="AC16" s="7">
        <f t="shared" si="1"/>
        <v>72.912547734401159</v>
      </c>
      <c r="AD16" s="7">
        <f t="shared" si="1"/>
        <v>75.409352007262626</v>
      </c>
      <c r="AE16" s="7">
        <f>AE21*AF16+AE22</f>
        <v>78.53278051050259</v>
      </c>
      <c r="AF16" s="7">
        <f t="shared" si="1"/>
        <v>82.184230497265617</v>
      </c>
      <c r="AG16" s="7">
        <f>AG21*AH16+AG22</f>
        <v>86.261903799380406</v>
      </c>
      <c r="AH16" s="7">
        <f>AH21*AI16+AH22</f>
        <v>90.661460781048689</v>
      </c>
      <c r="AI16" s="7">
        <f>AI21*AJ16+AI22</f>
        <v>95.276661359913561</v>
      </c>
      <c r="AJ16" s="5">
        <f>AJ14</f>
        <v>100</v>
      </c>
    </row>
    <row r="17" spans="2:36" x14ac:dyDescent="0.25">
      <c r="C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</row>
    <row r="18" spans="2:36" x14ac:dyDescent="0.25">
      <c r="B18" s="1" t="s">
        <v>11</v>
      </c>
      <c r="C18" s="8">
        <f>C11/C4^2</f>
        <v>4139999.9999999991</v>
      </c>
      <c r="E18" t="s">
        <v>12</v>
      </c>
      <c r="F18" s="5"/>
      <c r="G18" s="5">
        <f>-($C$11*(G14-F14))/$C$4</f>
        <v>271146.86553283251</v>
      </c>
      <c r="H18" s="5">
        <f t="shared" ref="H18:AI18" si="2">-($C$11*(H14-G14))/$C$4</f>
        <v>268823.58730018098</v>
      </c>
      <c r="I18" s="5">
        <f t="shared" si="2"/>
        <v>264221.42136484833</v>
      </c>
      <c r="J18" s="5">
        <f t="shared" si="2"/>
        <v>257427.5140566167</v>
      </c>
      <c r="K18" s="5">
        <f t="shared" si="2"/>
        <v>248568.59929105639</v>
      </c>
      <c r="L18" s="5">
        <f t="shared" si="2"/>
        <v>237806.49103632968</v>
      </c>
      <c r="M18" s="5">
        <f t="shared" si="2"/>
        <v>225332.50771035347</v>
      </c>
      <c r="N18" s="5">
        <f t="shared" si="2"/>
        <v>211361.15505338856</v>
      </c>
      <c r="O18" s="5">
        <f t="shared" si="2"/>
        <v>196123.42367060852</v>
      </c>
      <c r="P18" s="5">
        <f t="shared" si="2"/>
        <v>179860.05999958626</v>
      </c>
      <c r="Q18" s="5">
        <f t="shared" si="2"/>
        <v>162815.14595075205</v>
      </c>
      <c r="R18" s="5">
        <f t="shared" si="2"/>
        <v>145230.27617719624</v>
      </c>
      <c r="S18" s="5">
        <f t="shared" si="2"/>
        <v>127339.5579715928</v>
      </c>
      <c r="T18" s="5">
        <f t="shared" si="2"/>
        <v>109365.58353139469</v>
      </c>
      <c r="U18" s="5">
        <f t="shared" si="2"/>
        <v>91516.444726318136</v>
      </c>
      <c r="V18" s="5">
        <f t="shared" si="2"/>
        <v>73983.783388629599</v>
      </c>
      <c r="W18" s="5">
        <f t="shared" si="2"/>
        <v>56941.801645002342</v>
      </c>
      <c r="X18" s="5">
        <f t="shared" si="2"/>
        <v>40547.101804726524</v>
      </c>
      <c r="Y18" s="5">
        <f t="shared" si="2"/>
        <v>24939.187115539069</v>
      </c>
      <c r="Z18" s="5">
        <f t="shared" si="2"/>
        <v>10241.434836872426</v>
      </c>
      <c r="AA18" s="5">
        <f t="shared" si="2"/>
        <v>-3437.6486620069272</v>
      </c>
      <c r="AB18" s="5">
        <f t="shared" si="2"/>
        <v>-16003.066527144787</v>
      </c>
      <c r="AC18" s="5">
        <f t="shared" si="2"/>
        <v>-27372.011840168816</v>
      </c>
      <c r="AD18" s="5">
        <f t="shared" si="2"/>
        <v>-37472.701190367676</v>
      </c>
      <c r="AE18" s="5">
        <f t="shared" si="2"/>
        <v>-46243.431590723892</v>
      </c>
      <c r="AF18" s="5">
        <f t="shared" si="2"/>
        <v>-53631.889942168149</v>
      </c>
      <c r="AG18" s="5">
        <f t="shared" si="2"/>
        <v>-59594.707663069159</v>
      </c>
      <c r="AH18" s="5">
        <f t="shared" si="2"/>
        <v>-64097.22435438721</v>
      </c>
      <c r="AI18" s="5">
        <f t="shared" si="2"/>
        <v>-67113.40582630987</v>
      </c>
      <c r="AJ18" s="5"/>
    </row>
    <row r="19" spans="2:36" x14ac:dyDescent="0.25">
      <c r="B19" s="1" t="s">
        <v>13</v>
      </c>
      <c r="C19" s="8">
        <f>(2*C11)/(C4^2)+(C10*C9)/(C6)</f>
        <v>10073999.999999998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</row>
    <row r="20" spans="2:36" x14ac:dyDescent="0.25">
      <c r="B20" s="1" t="s">
        <v>14</v>
      </c>
      <c r="C20" s="8">
        <f>C11/C4^2</f>
        <v>4139999.9999999991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</row>
    <row r="21" spans="2:36" x14ac:dyDescent="0.25">
      <c r="E21" s="9" t="s">
        <v>15</v>
      </c>
      <c r="F21" s="5">
        <v>0</v>
      </c>
      <c r="G21" s="10">
        <f>$C$18/($C$19-$C$20*F21)</f>
        <v>0.41095890410958902</v>
      </c>
      <c r="H21" s="10">
        <f t="shared" ref="H21:AH21" si="3">$C$18/($C$19-$C$20*G21)</f>
        <v>0.49446827726349057</v>
      </c>
      <c r="I21" s="10">
        <f t="shared" si="3"/>
        <v>0.51576565211146774</v>
      </c>
      <c r="J21" s="10">
        <f t="shared" si="3"/>
        <v>0.52149397895713612</v>
      </c>
      <c r="K21" s="10">
        <f t="shared" si="3"/>
        <v>0.52305649933975962</v>
      </c>
      <c r="L21" s="10">
        <f t="shared" si="3"/>
        <v>0.52348433598989241</v>
      </c>
      <c r="M21" s="10">
        <f t="shared" si="3"/>
        <v>0.52360160483419294</v>
      </c>
      <c r="N21" s="10">
        <f t="shared" si="3"/>
        <v>0.52363375707534621</v>
      </c>
      <c r="O21" s="10">
        <f t="shared" si="3"/>
        <v>0.52364257312109652</v>
      </c>
      <c r="P21" s="10">
        <f t="shared" si="3"/>
        <v>0.5236449905056163</v>
      </c>
      <c r="Q21" s="10">
        <f t="shared" si="3"/>
        <v>0.52364565336314417</v>
      </c>
      <c r="R21" s="10">
        <f t="shared" si="3"/>
        <v>0.52364583512190344</v>
      </c>
      <c r="S21" s="10">
        <f t="shared" si="3"/>
        <v>0.52364588496106157</v>
      </c>
      <c r="T21" s="10">
        <f t="shared" si="3"/>
        <v>0.52364589862720901</v>
      </c>
      <c r="U21" s="10">
        <f t="shared" si="3"/>
        <v>0.52364590237453534</v>
      </c>
      <c r="V21" s="10">
        <f t="shared" si="3"/>
        <v>0.52364590340207107</v>
      </c>
      <c r="W21" s="10">
        <f t="shared" si="3"/>
        <v>0.52364590368382657</v>
      </c>
      <c r="X21" s="10">
        <f t="shared" si="3"/>
        <v>0.52364590376108522</v>
      </c>
      <c r="Y21" s="10">
        <f t="shared" si="3"/>
        <v>0.52364590378227005</v>
      </c>
      <c r="Z21" s="10">
        <f t="shared" si="3"/>
        <v>0.52364590378807896</v>
      </c>
      <c r="AA21" s="10">
        <f t="shared" si="3"/>
        <v>0.5236459037896718</v>
      </c>
      <c r="AB21" s="10">
        <f t="shared" si="3"/>
        <v>0.52364590379010867</v>
      </c>
      <c r="AC21" s="10">
        <f t="shared" si="3"/>
        <v>0.52364590379022846</v>
      </c>
      <c r="AD21" s="10">
        <f t="shared" si="3"/>
        <v>0.52364590379026121</v>
      </c>
      <c r="AE21" s="10">
        <f t="shared" si="3"/>
        <v>0.52364590379027021</v>
      </c>
      <c r="AF21" s="10">
        <f t="shared" si="3"/>
        <v>0.52364590379027265</v>
      </c>
      <c r="AG21" s="10">
        <f t="shared" si="3"/>
        <v>0.52364590379027331</v>
      </c>
      <c r="AH21" s="10">
        <f t="shared" si="3"/>
        <v>0.52364590379027354</v>
      </c>
      <c r="AI21" s="10">
        <f>$C$18/($C$19-$C$20*AH21)</f>
        <v>0.52364590379027354</v>
      </c>
      <c r="AJ21" s="10"/>
    </row>
    <row r="22" spans="2:36" x14ac:dyDescent="0.25">
      <c r="E22" s="9" t="s">
        <v>16</v>
      </c>
      <c r="F22" s="5">
        <f>C14</f>
        <v>300</v>
      </c>
      <c r="G22" s="10">
        <f>(F22*$C$20-G23)/($C$19-$C$20*F21)</f>
        <v>173.21331223751557</v>
      </c>
      <c r="H22" s="10">
        <f t="shared" ref="H22:AI22" si="4">(G22*$C$20-H23)/($C$19-$C$20*G21)</f>
        <v>141.54536082512271</v>
      </c>
      <c r="I22" s="10">
        <f>(H22*$C$20-I23)/($C$19-$C$20*H21)</f>
        <v>127.02944859792133</v>
      </c>
      <c r="J22" s="10">
        <f t="shared" si="4"/>
        <v>116.65485201804114</v>
      </c>
      <c r="K22" s="10">
        <f>(J22*$C$20-K23)/($C$19-$C$20*J21)</f>
        <v>107.49526776743939</v>
      </c>
      <c r="L22" s="10">
        <f t="shared" si="4"/>
        <v>98.879252541762781</v>
      </c>
      <c r="M22" s="10">
        <f t="shared" si="4"/>
        <v>90.685217550544962</v>
      </c>
      <c r="N22" s="10">
        <f t="shared" si="4"/>
        <v>82.924784657407315</v>
      </c>
      <c r="O22" s="10">
        <f t="shared" si="4"/>
        <v>75.637653297604643</v>
      </c>
      <c r="P22" s="10">
        <f t="shared" si="4"/>
        <v>68.86470111807165</v>
      </c>
      <c r="Q22" s="10">
        <f t="shared" si="4"/>
        <v>62.640995221828362</v>
      </c>
      <c r="R22" s="10">
        <f t="shared" si="4"/>
        <v>56.99398001700294</v>
      </c>
      <c r="S22" s="10">
        <f t="shared" si="4"/>
        <v>51.94310650581248</v>
      </c>
      <c r="T22" s="10">
        <f t="shared" si="4"/>
        <v>47.499941777606161</v>
      </c>
      <c r="U22" s="10">
        <f t="shared" si="4"/>
        <v>43.668493378154757</v>
      </c>
      <c r="V22" s="10">
        <f t="shared" si="4"/>
        <v>40.445656794347663</v>
      </c>
      <c r="W22" s="10">
        <f t="shared" si="4"/>
        <v>37.821738318686634</v>
      </c>
      <c r="X22" s="10">
        <f t="shared" si="4"/>
        <v>35.781018682001374</v>
      </c>
      <c r="Y22" s="10">
        <f t="shared" si="4"/>
        <v>34.302329467497692</v>
      </c>
      <c r="Z22" s="10">
        <f t="shared" si="4"/>
        <v>33.359620134597002</v>
      </c>
      <c r="AA22" s="10">
        <f t="shared" si="4"/>
        <v>32.922499467410645</v>
      </c>
      <c r="AB22" s="10">
        <f t="shared" si="4"/>
        <v>32.956741240544211</v>
      </c>
      <c r="AC22" s="10">
        <f t="shared" si="4"/>
        <v>33.424749448322643</v>
      </c>
      <c r="AD22" s="10">
        <f t="shared" si="4"/>
        <v>34.285983179678283</v>
      </c>
      <c r="AE22" s="10">
        <f t="shared" si="4"/>
        <v>35.497344854454056</v>
      </c>
      <c r="AF22" s="10">
        <f t="shared" si="4"/>
        <v>37.013537919569508</v>
      </c>
      <c r="AG22" s="10">
        <f t="shared" si="4"/>
        <v>38.787401229741754</v>
      </c>
      <c r="AH22" s="10">
        <f t="shared" si="4"/>
        <v>40.770227333116921</v>
      </c>
      <c r="AI22" s="10">
        <f t="shared" si="4"/>
        <v>42.912070980886213</v>
      </c>
      <c r="AJ22" s="11"/>
    </row>
    <row r="23" spans="2:36" x14ac:dyDescent="0.25">
      <c r="E23" s="9" t="s">
        <v>17</v>
      </c>
      <c r="F23" s="12">
        <f>-($C$10*$C$9/$C$6)*F14</f>
        <v>-538200000</v>
      </c>
      <c r="G23" s="12">
        <f>-($C$10*$C$9/$C$6)*G14</f>
        <v>-502950907.48073179</v>
      </c>
      <c r="H23" s="12">
        <f t="shared" ref="H23:AH23" si="5">-($C$10*$C$9/$C$6)*H14</f>
        <v>-468003841.13170826</v>
      </c>
      <c r="I23" s="12">
        <f t="shared" si="5"/>
        <v>-433655056.35427797</v>
      </c>
      <c r="J23" s="12">
        <f t="shared" si="5"/>
        <v>-400189479.52691782</v>
      </c>
      <c r="K23" s="12">
        <f t="shared" si="5"/>
        <v>-367875561.61908048</v>
      </c>
      <c r="L23" s="12">
        <f t="shared" si="5"/>
        <v>-336960717.78435761</v>
      </c>
      <c r="M23" s="12">
        <f t="shared" si="5"/>
        <v>-307667491.78201163</v>
      </c>
      <c r="N23" s="12">
        <f t="shared" si="5"/>
        <v>-280190541.62507111</v>
      </c>
      <c r="O23" s="12">
        <f t="shared" si="5"/>
        <v>-254694496.54789203</v>
      </c>
      <c r="P23" s="12">
        <f t="shared" si="5"/>
        <v>-231312688.74794582</v>
      </c>
      <c r="Q23" s="12">
        <f t="shared" si="5"/>
        <v>-210146719.77434805</v>
      </c>
      <c r="R23" s="12">
        <f t="shared" si="5"/>
        <v>-191266783.87131253</v>
      </c>
      <c r="S23" s="12">
        <f t="shared" si="5"/>
        <v>-174712641.33500546</v>
      </c>
      <c r="T23" s="12">
        <f t="shared" si="5"/>
        <v>-160495115.47592416</v>
      </c>
      <c r="U23" s="12">
        <f t="shared" si="5"/>
        <v>-148597977.66150281</v>
      </c>
      <c r="V23" s="12">
        <f t="shared" si="5"/>
        <v>-138980085.82098094</v>
      </c>
      <c r="W23" s="12">
        <f t="shared" si="5"/>
        <v>-131577651.60713065</v>
      </c>
      <c r="X23" s="12">
        <f t="shared" si="5"/>
        <v>-126306528.37251619</v>
      </c>
      <c r="Y23" s="12">
        <f t="shared" si="5"/>
        <v>-123064434.04749611</v>
      </c>
      <c r="Z23" s="12">
        <f t="shared" si="5"/>
        <v>-121733047.5187027</v>
      </c>
      <c r="AA23" s="12">
        <f t="shared" si="5"/>
        <v>-122179941.84476359</v>
      </c>
      <c r="AB23" s="12">
        <f t="shared" si="5"/>
        <v>-124260340.49329242</v>
      </c>
      <c r="AC23" s="12">
        <f t="shared" si="5"/>
        <v>-127818702.03251436</v>
      </c>
      <c r="AD23" s="12">
        <f t="shared" si="5"/>
        <v>-132690153.18726216</v>
      </c>
      <c r="AE23" s="12">
        <f t="shared" si="5"/>
        <v>-138701799.29405627</v>
      </c>
      <c r="AF23" s="12">
        <f t="shared" si="5"/>
        <v>-145673944.98653814</v>
      </c>
      <c r="AG23" s="12">
        <f t="shared" si="5"/>
        <v>-153421256.98273712</v>
      </c>
      <c r="AH23" s="12">
        <f t="shared" si="5"/>
        <v>-161753896.14880747</v>
      </c>
      <c r="AI23" s="12">
        <f>-($C$10*$C$9/$C$6)*AI14</f>
        <v>-170478638.90622774</v>
      </c>
      <c r="AJ23" s="5"/>
    </row>
    <row r="24" spans="2:36" x14ac:dyDescent="0.25"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</row>
  </sheetData>
  <conditionalFormatting sqref="F14:AJ14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EF98"/>
  <sheetViews>
    <sheetView tabSelected="1" zoomScale="40" zoomScaleNormal="40" workbookViewId="0">
      <selection activeCell="H4" sqref="H4:AI33"/>
    </sheetView>
  </sheetViews>
  <sheetFormatPr defaultRowHeight="15" x14ac:dyDescent="0.25"/>
  <cols>
    <col min="1" max="1" width="11.85546875" customWidth="1"/>
    <col min="3" max="3" width="10.140625" bestFit="1" customWidth="1"/>
    <col min="6" max="6" width="10.140625" bestFit="1" customWidth="1"/>
    <col min="41" max="41" width="12.140625" bestFit="1" customWidth="1"/>
  </cols>
  <sheetData>
    <row r="3" spans="1:37" x14ac:dyDescent="0.25">
      <c r="A3" s="28" t="s">
        <v>20</v>
      </c>
      <c r="B3" s="21" t="s">
        <v>0</v>
      </c>
      <c r="C3" s="21">
        <v>0.1</v>
      </c>
      <c r="F3" s="13"/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13">
        <v>6</v>
      </c>
      <c r="M3" s="13">
        <v>7</v>
      </c>
      <c r="N3" s="13">
        <v>8</v>
      </c>
      <c r="O3" s="13">
        <v>9</v>
      </c>
      <c r="P3" s="13">
        <v>10</v>
      </c>
      <c r="Q3" s="13">
        <v>11</v>
      </c>
      <c r="R3" s="13">
        <v>12</v>
      </c>
      <c r="S3" s="13">
        <v>13</v>
      </c>
      <c r="T3" s="13">
        <v>14</v>
      </c>
      <c r="U3" s="13">
        <v>15</v>
      </c>
      <c r="V3" s="13">
        <v>16</v>
      </c>
      <c r="W3" s="13">
        <v>17</v>
      </c>
      <c r="X3" s="13">
        <v>18</v>
      </c>
      <c r="Y3" s="13">
        <v>19</v>
      </c>
      <c r="Z3" s="13">
        <v>20</v>
      </c>
      <c r="AA3" s="13">
        <v>21</v>
      </c>
      <c r="AB3" s="13">
        <v>22</v>
      </c>
      <c r="AC3" s="13">
        <v>23</v>
      </c>
      <c r="AD3" s="13">
        <v>24</v>
      </c>
      <c r="AE3" s="13">
        <v>25</v>
      </c>
      <c r="AF3" s="13">
        <v>26</v>
      </c>
      <c r="AG3" s="13">
        <v>27</v>
      </c>
      <c r="AH3" s="13">
        <v>28</v>
      </c>
      <c r="AI3" s="13">
        <v>29</v>
      </c>
      <c r="AJ3" s="13">
        <v>30</v>
      </c>
      <c r="AK3" s="13"/>
    </row>
    <row r="4" spans="1:37" ht="15" customHeight="1" x14ac:dyDescent="0.25">
      <c r="A4" s="28"/>
      <c r="B4" s="21" t="s">
        <v>18</v>
      </c>
      <c r="C4" s="21">
        <v>0.1</v>
      </c>
      <c r="F4" s="14">
        <f t="shared" ref="F4:F31" si="0">$C$6+F5</f>
        <v>0.10000000000000007</v>
      </c>
      <c r="G4" s="1">
        <f t="shared" ref="G4:G32" si="1">$C$14</f>
        <v>300</v>
      </c>
      <c r="H4" s="27">
        <v>0</v>
      </c>
      <c r="I4" s="27">
        <v>0</v>
      </c>
      <c r="J4" s="27">
        <v>0</v>
      </c>
      <c r="K4" s="27">
        <v>0</v>
      </c>
      <c r="L4" s="27">
        <v>0</v>
      </c>
      <c r="M4" s="27">
        <v>0</v>
      </c>
      <c r="N4" s="27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7">
        <v>0</v>
      </c>
      <c r="AD4" s="27">
        <v>0</v>
      </c>
      <c r="AE4" s="27">
        <v>0</v>
      </c>
      <c r="AF4" s="27">
        <v>0</v>
      </c>
      <c r="AG4" s="27">
        <v>0</v>
      </c>
      <c r="AH4" s="27">
        <v>0</v>
      </c>
      <c r="AI4" s="27">
        <v>0</v>
      </c>
      <c r="AJ4" s="27">
        <v>100</v>
      </c>
      <c r="AK4" s="13">
        <v>30</v>
      </c>
    </row>
    <row r="5" spans="1:37" ht="15" customHeight="1" x14ac:dyDescent="0.25">
      <c r="A5" s="28"/>
      <c r="B5" s="21" t="s">
        <v>1</v>
      </c>
      <c r="C5" s="25">
        <f>C3/29</f>
        <v>3.4482758620689659E-3</v>
      </c>
      <c r="F5" s="14">
        <f t="shared" si="0"/>
        <v>9.6551724137931103E-2</v>
      </c>
      <c r="G5" s="1">
        <f t="shared" si="1"/>
        <v>300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7">
        <v>0</v>
      </c>
      <c r="N5" s="27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100</v>
      </c>
      <c r="AK5" s="13">
        <v>29</v>
      </c>
    </row>
    <row r="6" spans="1:37" ht="15" customHeight="1" x14ac:dyDescent="0.25">
      <c r="A6" s="28"/>
      <c r="B6" s="21" t="s">
        <v>19</v>
      </c>
      <c r="C6" s="25">
        <f>C4/29</f>
        <v>3.4482758620689659E-3</v>
      </c>
      <c r="F6" s="14">
        <f t="shared" si="0"/>
        <v>9.310344827586213E-2</v>
      </c>
      <c r="G6" s="1">
        <f t="shared" si="1"/>
        <v>300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100</v>
      </c>
      <c r="AK6" s="13">
        <v>28</v>
      </c>
    </row>
    <row r="7" spans="1:37" ht="15" customHeight="1" x14ac:dyDescent="0.25">
      <c r="A7" s="28"/>
      <c r="B7" s="21" t="s">
        <v>2</v>
      </c>
      <c r="C7" s="21">
        <v>60</v>
      </c>
      <c r="D7">
        <v>61</v>
      </c>
      <c r="F7" s="14">
        <f t="shared" si="0"/>
        <v>8.9655172413793158E-2</v>
      </c>
      <c r="G7" s="1">
        <f t="shared" si="1"/>
        <v>300</v>
      </c>
      <c r="H7" s="27">
        <v>0</v>
      </c>
      <c r="I7" s="27">
        <v>0</v>
      </c>
      <c r="J7" s="27">
        <v>0</v>
      </c>
      <c r="K7" s="27">
        <v>0</v>
      </c>
      <c r="L7" s="27">
        <v>0</v>
      </c>
      <c r="M7" s="27">
        <v>0</v>
      </c>
      <c r="N7" s="27">
        <v>0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7">
        <v>0</v>
      </c>
      <c r="AD7" s="27">
        <v>0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27">
        <v>100</v>
      </c>
      <c r="AK7" s="13">
        <v>27</v>
      </c>
    </row>
    <row r="8" spans="1:37" ht="15" customHeight="1" x14ac:dyDescent="0.25">
      <c r="A8" s="28"/>
      <c r="B8" s="21" t="s">
        <v>3</v>
      </c>
      <c r="C8" s="21">
        <v>1</v>
      </c>
      <c r="F8" s="14">
        <f t="shared" si="0"/>
        <v>8.6206896551724185E-2</v>
      </c>
      <c r="G8" s="1">
        <f t="shared" si="1"/>
        <v>300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100</v>
      </c>
      <c r="AK8" s="13">
        <v>26</v>
      </c>
    </row>
    <row r="9" spans="1:37" ht="15" customHeight="1" x14ac:dyDescent="0.25">
      <c r="F9" s="14">
        <f t="shared" si="0"/>
        <v>8.2758620689655213E-2</v>
      </c>
      <c r="G9" s="1">
        <f t="shared" si="1"/>
        <v>300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7">
        <v>0</v>
      </c>
      <c r="AD9" s="27">
        <v>0</v>
      </c>
      <c r="AE9" s="27">
        <v>0</v>
      </c>
      <c r="AF9" s="27">
        <v>0</v>
      </c>
      <c r="AG9" s="27">
        <v>0</v>
      </c>
      <c r="AH9" s="27">
        <v>0</v>
      </c>
      <c r="AI9" s="27">
        <v>0</v>
      </c>
      <c r="AJ9" s="27">
        <v>100</v>
      </c>
      <c r="AK9" s="13">
        <v>25</v>
      </c>
    </row>
    <row r="10" spans="1:37" ht="15" customHeight="1" x14ac:dyDescent="0.25">
      <c r="A10" s="29" t="s">
        <v>21</v>
      </c>
      <c r="B10" s="22" t="s">
        <v>4</v>
      </c>
      <c r="C10" s="22">
        <v>460</v>
      </c>
      <c r="F10" s="14">
        <f t="shared" si="0"/>
        <v>7.931034482758624E-2</v>
      </c>
      <c r="G10" s="1">
        <f t="shared" si="1"/>
        <v>300</v>
      </c>
      <c r="H10" s="27">
        <v>0</v>
      </c>
      <c r="I10" s="27">
        <v>0</v>
      </c>
      <c r="J10" s="27">
        <v>0</v>
      </c>
      <c r="K10" s="27">
        <v>0</v>
      </c>
      <c r="L10" s="27">
        <v>0</v>
      </c>
      <c r="M10" s="27">
        <v>0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7">
        <v>0</v>
      </c>
      <c r="AD10" s="27">
        <v>0</v>
      </c>
      <c r="AE10" s="27">
        <v>0</v>
      </c>
      <c r="AF10" s="27">
        <v>0</v>
      </c>
      <c r="AG10" s="27">
        <v>0</v>
      </c>
      <c r="AH10" s="27">
        <v>0</v>
      </c>
      <c r="AI10" s="27">
        <v>0</v>
      </c>
      <c r="AJ10" s="27">
        <v>100</v>
      </c>
      <c r="AK10" s="13">
        <v>24</v>
      </c>
    </row>
    <row r="11" spans="1:37" ht="15" customHeight="1" x14ac:dyDescent="0.25">
      <c r="A11" s="29"/>
      <c r="B11" s="22" t="s">
        <v>5</v>
      </c>
      <c r="C11" s="22">
        <v>7800</v>
      </c>
      <c r="F11" s="14">
        <f t="shared" si="0"/>
        <v>7.5862068965517268E-2</v>
      </c>
      <c r="G11" s="1">
        <f t="shared" si="1"/>
        <v>300</v>
      </c>
      <c r="H11" s="27">
        <v>0</v>
      </c>
      <c r="I11" s="27">
        <v>0</v>
      </c>
      <c r="J11" s="27">
        <v>0</v>
      </c>
      <c r="K11" s="27">
        <v>0</v>
      </c>
      <c r="L11" s="27">
        <v>0</v>
      </c>
      <c r="M11" s="27">
        <v>0</v>
      </c>
      <c r="N11" s="27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7">
        <v>0</v>
      </c>
      <c r="AD11" s="27">
        <v>0</v>
      </c>
      <c r="AE11" s="27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100</v>
      </c>
      <c r="AK11" s="13">
        <v>23</v>
      </c>
    </row>
    <row r="12" spans="1:37" ht="15" customHeight="1" x14ac:dyDescent="0.25">
      <c r="A12" s="29"/>
      <c r="B12" s="22" t="s">
        <v>6</v>
      </c>
      <c r="C12" s="22">
        <v>46</v>
      </c>
      <c r="F12" s="14">
        <f t="shared" si="0"/>
        <v>7.2413793103448296E-2</v>
      </c>
      <c r="G12" s="1">
        <f t="shared" si="1"/>
        <v>300</v>
      </c>
      <c r="H12" s="27">
        <v>0</v>
      </c>
      <c r="I12" s="27">
        <v>0</v>
      </c>
      <c r="J12" s="27">
        <v>0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7">
        <v>0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100</v>
      </c>
      <c r="AK12" s="13">
        <v>22</v>
      </c>
    </row>
    <row r="13" spans="1:37" ht="15" customHeight="1" x14ac:dyDescent="0.25">
      <c r="F13" s="14">
        <f t="shared" si="0"/>
        <v>6.8965517241379323E-2</v>
      </c>
      <c r="G13" s="1">
        <f t="shared" si="1"/>
        <v>300</v>
      </c>
      <c r="H13" s="27">
        <v>0</v>
      </c>
      <c r="I13" s="27">
        <v>0</v>
      </c>
      <c r="J13" s="27">
        <v>0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  <c r="P13" s="27">
        <v>0</v>
      </c>
      <c r="Q13" s="27">
        <v>0</v>
      </c>
      <c r="R13" s="27">
        <v>0</v>
      </c>
      <c r="S13" s="27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7">
        <v>0</v>
      </c>
      <c r="AD13" s="27">
        <v>0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27">
        <v>100</v>
      </c>
      <c r="AK13" s="13">
        <v>21</v>
      </c>
    </row>
    <row r="14" spans="1:37" ht="15" customHeight="1" x14ac:dyDescent="0.25">
      <c r="B14" s="26" t="s">
        <v>7</v>
      </c>
      <c r="C14" s="26">
        <v>300</v>
      </c>
      <c r="F14" s="14">
        <f t="shared" si="0"/>
        <v>6.5517241379310351E-2</v>
      </c>
      <c r="G14" s="1">
        <f t="shared" si="1"/>
        <v>300</v>
      </c>
      <c r="H14" s="27">
        <v>0</v>
      </c>
      <c r="I14" s="27">
        <v>0</v>
      </c>
      <c r="J14" s="27">
        <v>0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7">
        <v>100</v>
      </c>
      <c r="AK14" s="13">
        <v>20</v>
      </c>
    </row>
    <row r="15" spans="1:37" ht="15" customHeight="1" x14ac:dyDescent="0.25">
      <c r="B15" s="26" t="s">
        <v>9</v>
      </c>
      <c r="C15" s="26">
        <v>100</v>
      </c>
      <c r="F15" s="14">
        <f t="shared" si="0"/>
        <v>6.2068965517241385E-2</v>
      </c>
      <c r="G15" s="1">
        <f t="shared" si="1"/>
        <v>300</v>
      </c>
      <c r="H15" s="27">
        <v>0</v>
      </c>
      <c r="I15" s="27">
        <v>0</v>
      </c>
      <c r="J15" s="27">
        <v>0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7">
        <v>0</v>
      </c>
      <c r="AD15" s="27">
        <v>0</v>
      </c>
      <c r="AE15" s="27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100</v>
      </c>
      <c r="AK15" s="13">
        <v>19</v>
      </c>
    </row>
    <row r="16" spans="1:37" ht="15" customHeight="1" x14ac:dyDescent="0.25">
      <c r="F16" s="14">
        <f t="shared" si="0"/>
        <v>5.862068965517242E-2</v>
      </c>
      <c r="G16" s="1">
        <f t="shared" si="1"/>
        <v>300</v>
      </c>
      <c r="H16" s="27">
        <v>0</v>
      </c>
      <c r="I16" s="27">
        <v>0</v>
      </c>
      <c r="J16" s="27">
        <v>0</v>
      </c>
      <c r="K16" s="27">
        <v>0</v>
      </c>
      <c r="L16" s="27">
        <v>0</v>
      </c>
      <c r="M16" s="27">
        <v>0</v>
      </c>
      <c r="N16" s="27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7">
        <v>0</v>
      </c>
      <c r="AD16" s="27">
        <v>0</v>
      </c>
      <c r="AE16" s="27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100</v>
      </c>
      <c r="AK16" s="13">
        <v>18</v>
      </c>
    </row>
    <row r="17" spans="1:37" ht="15" customHeight="1" x14ac:dyDescent="0.25">
      <c r="F17" s="14">
        <f t="shared" si="0"/>
        <v>5.5172413793103454E-2</v>
      </c>
      <c r="G17" s="1">
        <f t="shared" si="1"/>
        <v>300</v>
      </c>
      <c r="H17" s="27">
        <v>0</v>
      </c>
      <c r="I17" s="27">
        <v>0</v>
      </c>
      <c r="J17" s="27">
        <v>0</v>
      </c>
      <c r="K17" s="27">
        <v>0</v>
      </c>
      <c r="L17" s="27">
        <v>0</v>
      </c>
      <c r="M17" s="27">
        <v>0</v>
      </c>
      <c r="N17" s="27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7">
        <v>0</v>
      </c>
      <c r="AD17" s="27">
        <v>0</v>
      </c>
      <c r="AE17" s="27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100</v>
      </c>
      <c r="AK17" s="13">
        <v>17</v>
      </c>
    </row>
    <row r="18" spans="1:37" ht="15" customHeight="1" x14ac:dyDescent="0.25">
      <c r="A18" s="30" t="s">
        <v>22</v>
      </c>
      <c r="B18" s="16" t="s">
        <v>11</v>
      </c>
      <c r="C18" s="16">
        <f>C12/(C5^2)</f>
        <v>3868599.9999999991</v>
      </c>
      <c r="F18" s="14">
        <f t="shared" si="0"/>
        <v>5.1724137931034489E-2</v>
      </c>
      <c r="G18" s="1">
        <f t="shared" si="1"/>
        <v>300</v>
      </c>
      <c r="H18" s="27">
        <v>0</v>
      </c>
      <c r="I18" s="27">
        <v>0</v>
      </c>
      <c r="J18" s="27">
        <v>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7">
        <v>0</v>
      </c>
      <c r="AD18" s="27">
        <v>0</v>
      </c>
      <c r="AE18" s="27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100</v>
      </c>
      <c r="AK18" s="13">
        <v>16</v>
      </c>
    </row>
    <row r="19" spans="1:37" ht="15" customHeight="1" x14ac:dyDescent="0.25">
      <c r="A19" s="30"/>
      <c r="B19" s="16" t="s">
        <v>13</v>
      </c>
      <c r="C19" s="16">
        <f>(2*C12/C5^2)+(C11*C10/C8)</f>
        <v>11325199.999999998</v>
      </c>
      <c r="F19" s="14">
        <f>$C$6+F20</f>
        <v>4.8275862068965524E-2</v>
      </c>
      <c r="G19" s="1">
        <f t="shared" si="1"/>
        <v>300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7">
        <v>0</v>
      </c>
      <c r="N19" s="27">
        <v>0</v>
      </c>
      <c r="O19" s="27">
        <v>0</v>
      </c>
      <c r="P19" s="27">
        <v>0</v>
      </c>
      <c r="Q19" s="27">
        <v>0</v>
      </c>
      <c r="R19" s="27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7">
        <v>0</v>
      </c>
      <c r="AD19" s="27">
        <v>0</v>
      </c>
      <c r="AE19" s="27">
        <v>0</v>
      </c>
      <c r="AF19" s="27">
        <v>0</v>
      </c>
      <c r="AG19" s="27">
        <v>0</v>
      </c>
      <c r="AH19" s="27">
        <v>0</v>
      </c>
      <c r="AI19" s="27">
        <v>0</v>
      </c>
      <c r="AJ19" s="27">
        <v>100</v>
      </c>
      <c r="AK19" s="13">
        <v>15</v>
      </c>
    </row>
    <row r="20" spans="1:37" ht="15" customHeight="1" x14ac:dyDescent="0.25">
      <c r="A20" s="30"/>
      <c r="B20" s="16" t="s">
        <v>14</v>
      </c>
      <c r="C20" s="16">
        <f>C12/(C5^2)</f>
        <v>3868599.9999999991</v>
      </c>
      <c r="F20" s="14">
        <f t="shared" si="0"/>
        <v>4.4827586206896558E-2</v>
      </c>
      <c r="G20" s="1">
        <f t="shared" si="1"/>
        <v>300</v>
      </c>
      <c r="H20" s="27">
        <v>0</v>
      </c>
      <c r="I20" s="27">
        <v>0</v>
      </c>
      <c r="J20" s="27">
        <v>0</v>
      </c>
      <c r="K20" s="27">
        <v>0</v>
      </c>
      <c r="L20" s="27">
        <v>0</v>
      </c>
      <c r="M20" s="27">
        <v>0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7">
        <v>0</v>
      </c>
      <c r="AD20" s="27">
        <v>0</v>
      </c>
      <c r="AE20" s="27">
        <v>0</v>
      </c>
      <c r="AF20" s="27">
        <v>0</v>
      </c>
      <c r="AG20" s="27">
        <v>0</v>
      </c>
      <c r="AH20" s="27">
        <v>0</v>
      </c>
      <c r="AI20" s="27">
        <v>0</v>
      </c>
      <c r="AJ20" s="27">
        <v>100</v>
      </c>
      <c r="AK20" s="13">
        <v>14</v>
      </c>
    </row>
    <row r="21" spans="1:37" ht="15" customHeight="1" x14ac:dyDescent="0.25">
      <c r="F21" s="14">
        <f t="shared" si="0"/>
        <v>4.1379310344827593E-2</v>
      </c>
      <c r="G21" s="1">
        <f t="shared" si="1"/>
        <v>300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7">
        <v>0</v>
      </c>
      <c r="AD21" s="27">
        <v>0</v>
      </c>
      <c r="AE21" s="27">
        <v>0</v>
      </c>
      <c r="AF21" s="27">
        <v>0</v>
      </c>
      <c r="AG21" s="27">
        <v>0</v>
      </c>
      <c r="AH21" s="27">
        <v>0</v>
      </c>
      <c r="AI21" s="27">
        <v>0</v>
      </c>
      <c r="AJ21" s="27">
        <v>100</v>
      </c>
      <c r="AK21" s="13">
        <v>13</v>
      </c>
    </row>
    <row r="22" spans="1:37" ht="15" customHeight="1" x14ac:dyDescent="0.25">
      <c r="A22" s="31" t="s">
        <v>23</v>
      </c>
      <c r="B22" s="1" t="s">
        <v>11</v>
      </c>
      <c r="C22" s="1">
        <f>C12/C6^2</f>
        <v>3868599.9999999991</v>
      </c>
      <c r="F22" s="14">
        <f t="shared" si="0"/>
        <v>3.7931034482758627E-2</v>
      </c>
      <c r="G22" s="1">
        <f t="shared" si="1"/>
        <v>300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100</v>
      </c>
      <c r="AK22" s="13">
        <v>12</v>
      </c>
    </row>
    <row r="23" spans="1:37" ht="15" customHeight="1" x14ac:dyDescent="0.25">
      <c r="A23" s="32"/>
      <c r="B23" s="1" t="s">
        <v>13</v>
      </c>
      <c r="C23" s="15">
        <f>(2*C12/C6^2)+C11*C10/C8</f>
        <v>11325199.999999998</v>
      </c>
      <c r="F23" s="14">
        <f t="shared" si="0"/>
        <v>3.4482758620689662E-2</v>
      </c>
      <c r="G23" s="1">
        <f t="shared" si="1"/>
        <v>300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7">
        <v>0</v>
      </c>
      <c r="AD23" s="27">
        <v>0</v>
      </c>
      <c r="AE23" s="27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100</v>
      </c>
      <c r="AK23" s="13">
        <v>11</v>
      </c>
    </row>
    <row r="24" spans="1:37" ht="15" customHeight="1" x14ac:dyDescent="0.25">
      <c r="A24" s="33"/>
      <c r="B24" s="1" t="s">
        <v>14</v>
      </c>
      <c r="C24" s="1">
        <f>C12/C6^2</f>
        <v>3868599.9999999991</v>
      </c>
      <c r="F24" s="14">
        <f t="shared" si="0"/>
        <v>3.1034482758620693E-2</v>
      </c>
      <c r="G24" s="1">
        <f t="shared" si="1"/>
        <v>300</v>
      </c>
      <c r="H24" s="27">
        <v>0</v>
      </c>
      <c r="I24" s="27">
        <v>0</v>
      </c>
      <c r="J24" s="27">
        <v>0</v>
      </c>
      <c r="K24" s="27">
        <v>0</v>
      </c>
      <c r="L24" s="27">
        <v>0</v>
      </c>
      <c r="M24" s="27">
        <v>0</v>
      </c>
      <c r="N24" s="27">
        <v>0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7">
        <v>0</v>
      </c>
      <c r="AD24" s="27">
        <v>0</v>
      </c>
      <c r="AE24" s="27">
        <v>0</v>
      </c>
      <c r="AF24" s="27">
        <v>0</v>
      </c>
      <c r="AG24" s="27">
        <v>0</v>
      </c>
      <c r="AH24" s="27">
        <v>0</v>
      </c>
      <c r="AI24" s="27">
        <v>0</v>
      </c>
      <c r="AJ24" s="27">
        <v>100</v>
      </c>
      <c r="AK24" s="13">
        <v>10</v>
      </c>
    </row>
    <row r="25" spans="1:37" ht="15" customHeight="1" x14ac:dyDescent="0.25">
      <c r="F25" s="14">
        <f t="shared" si="0"/>
        <v>2.7586206896551727E-2</v>
      </c>
      <c r="G25" s="1">
        <f t="shared" si="1"/>
        <v>300</v>
      </c>
      <c r="H25" s="27">
        <v>0</v>
      </c>
      <c r="I25" s="27">
        <v>0</v>
      </c>
      <c r="J25" s="27">
        <v>0</v>
      </c>
      <c r="K25" s="27">
        <v>0</v>
      </c>
      <c r="L25" s="27">
        <v>0</v>
      </c>
      <c r="M25" s="27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7">
        <v>0</v>
      </c>
      <c r="AD25" s="27">
        <v>0</v>
      </c>
      <c r="AE25" s="27">
        <v>0</v>
      </c>
      <c r="AF25" s="27">
        <v>0</v>
      </c>
      <c r="AG25" s="27">
        <v>0</v>
      </c>
      <c r="AH25" s="27">
        <v>0</v>
      </c>
      <c r="AI25" s="27">
        <v>0</v>
      </c>
      <c r="AJ25" s="27">
        <v>100</v>
      </c>
      <c r="AK25" s="13">
        <v>9</v>
      </c>
    </row>
    <row r="26" spans="1:37" ht="15" customHeight="1" x14ac:dyDescent="0.25">
      <c r="F26" s="14">
        <f t="shared" si="0"/>
        <v>2.4137931034482762E-2</v>
      </c>
      <c r="G26" s="1">
        <f t="shared" si="1"/>
        <v>300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7">
        <v>0</v>
      </c>
      <c r="AD26" s="27">
        <v>0</v>
      </c>
      <c r="AE26" s="27">
        <v>0</v>
      </c>
      <c r="AF26" s="27">
        <v>0</v>
      </c>
      <c r="AG26" s="27">
        <v>0</v>
      </c>
      <c r="AH26" s="27">
        <v>0</v>
      </c>
      <c r="AI26" s="27">
        <v>0</v>
      </c>
      <c r="AJ26" s="27">
        <v>100</v>
      </c>
      <c r="AK26" s="13">
        <v>8</v>
      </c>
    </row>
    <row r="27" spans="1:37" ht="15" customHeight="1" x14ac:dyDescent="0.25">
      <c r="F27" s="14">
        <f t="shared" si="0"/>
        <v>2.0689655172413796E-2</v>
      </c>
      <c r="G27" s="1">
        <f t="shared" si="1"/>
        <v>300</v>
      </c>
      <c r="H27" s="27">
        <v>0</v>
      </c>
      <c r="I27" s="27">
        <v>0</v>
      </c>
      <c r="J27" s="27">
        <v>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7">
        <v>0</v>
      </c>
      <c r="AD27" s="27">
        <v>0</v>
      </c>
      <c r="AE27" s="27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100</v>
      </c>
      <c r="AK27" s="13">
        <v>7</v>
      </c>
    </row>
    <row r="28" spans="1:37" ht="15" customHeight="1" x14ac:dyDescent="0.25">
      <c r="F28" s="14">
        <f t="shared" si="0"/>
        <v>1.7241379310344831E-2</v>
      </c>
      <c r="G28" s="1">
        <f t="shared" si="1"/>
        <v>300</v>
      </c>
      <c r="H28" s="27">
        <v>0</v>
      </c>
      <c r="I28" s="27">
        <v>0</v>
      </c>
      <c r="J28" s="27">
        <v>0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7">
        <v>0</v>
      </c>
      <c r="AD28" s="27">
        <v>0</v>
      </c>
      <c r="AE28" s="27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100</v>
      </c>
      <c r="AK28" s="13">
        <v>6</v>
      </c>
    </row>
    <row r="29" spans="1:37" ht="15" customHeight="1" x14ac:dyDescent="0.25">
      <c r="F29" s="14">
        <f t="shared" si="0"/>
        <v>1.3793103448275864E-2</v>
      </c>
      <c r="G29" s="1">
        <f t="shared" si="1"/>
        <v>300</v>
      </c>
      <c r="H29" s="27">
        <v>0</v>
      </c>
      <c r="I29" s="27">
        <v>0</v>
      </c>
      <c r="J29" s="27">
        <v>0</v>
      </c>
      <c r="K29" s="27">
        <v>0</v>
      </c>
      <c r="L29" s="27">
        <v>0</v>
      </c>
      <c r="M29" s="27">
        <v>0</v>
      </c>
      <c r="N29" s="27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7">
        <v>0</v>
      </c>
      <c r="AD29" s="27">
        <v>0</v>
      </c>
      <c r="AE29" s="27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100</v>
      </c>
      <c r="AK29" s="13">
        <v>5</v>
      </c>
    </row>
    <row r="30" spans="1:37" ht="15" customHeight="1" x14ac:dyDescent="0.25">
      <c r="F30" s="14">
        <f t="shared" si="0"/>
        <v>1.0344827586206898E-2</v>
      </c>
      <c r="G30" s="1">
        <f t="shared" si="1"/>
        <v>300</v>
      </c>
      <c r="H30" s="27">
        <v>0</v>
      </c>
      <c r="I30" s="27">
        <v>0</v>
      </c>
      <c r="J30" s="27">
        <v>0</v>
      </c>
      <c r="K30" s="27">
        <v>0</v>
      </c>
      <c r="L30" s="27">
        <v>0</v>
      </c>
      <c r="M30" s="27">
        <v>0</v>
      </c>
      <c r="N30" s="27">
        <v>0</v>
      </c>
      <c r="O30" s="27">
        <v>0</v>
      </c>
      <c r="P30" s="27">
        <v>0</v>
      </c>
      <c r="Q30" s="27">
        <v>0</v>
      </c>
      <c r="R30" s="27">
        <v>0</v>
      </c>
      <c r="S30" s="27">
        <v>0</v>
      </c>
      <c r="T30" s="27">
        <v>0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7">
        <v>0</v>
      </c>
      <c r="AD30" s="27">
        <v>0</v>
      </c>
      <c r="AE30" s="27">
        <v>0</v>
      </c>
      <c r="AF30" s="27">
        <v>0</v>
      </c>
      <c r="AG30" s="27">
        <v>0</v>
      </c>
      <c r="AH30" s="27">
        <v>0</v>
      </c>
      <c r="AI30" s="27">
        <v>0</v>
      </c>
      <c r="AJ30" s="27">
        <v>100</v>
      </c>
      <c r="AK30" s="13">
        <v>4</v>
      </c>
    </row>
    <row r="31" spans="1:37" ht="15" customHeight="1" x14ac:dyDescent="0.25">
      <c r="F31" s="14">
        <f t="shared" si="0"/>
        <v>6.8965517241379318E-3</v>
      </c>
      <c r="G31" s="1">
        <f t="shared" si="1"/>
        <v>300</v>
      </c>
      <c r="H31" s="27">
        <v>0</v>
      </c>
      <c r="I31" s="27">
        <v>0</v>
      </c>
      <c r="J31" s="27">
        <v>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7">
        <v>0</v>
      </c>
      <c r="AD31" s="27">
        <v>0</v>
      </c>
      <c r="AE31" s="27">
        <v>0</v>
      </c>
      <c r="AF31" s="27">
        <v>0</v>
      </c>
      <c r="AG31" s="27">
        <v>0</v>
      </c>
      <c r="AH31" s="27">
        <v>0</v>
      </c>
      <c r="AI31" s="27">
        <v>0</v>
      </c>
      <c r="AJ31" s="27">
        <v>100</v>
      </c>
      <c r="AK31" s="13">
        <v>3</v>
      </c>
    </row>
    <row r="32" spans="1:37" ht="15" customHeight="1" x14ac:dyDescent="0.25">
      <c r="F32" s="14">
        <f>$C$6+F33</f>
        <v>3.4482758620689659E-3</v>
      </c>
      <c r="G32" s="1">
        <f t="shared" si="1"/>
        <v>300</v>
      </c>
      <c r="H32" s="27">
        <v>0</v>
      </c>
      <c r="I32" s="27">
        <v>0</v>
      </c>
      <c r="J32" s="27">
        <v>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7">
        <v>0</v>
      </c>
      <c r="AD32" s="27">
        <v>0</v>
      </c>
      <c r="AE32" s="27">
        <v>0</v>
      </c>
      <c r="AF32" s="27">
        <v>0</v>
      </c>
      <c r="AG32" s="27">
        <v>0</v>
      </c>
      <c r="AH32" s="27">
        <v>0</v>
      </c>
      <c r="AI32" s="27">
        <v>0</v>
      </c>
      <c r="AJ32" s="27">
        <v>100</v>
      </c>
      <c r="AK32" s="13">
        <v>2</v>
      </c>
    </row>
    <row r="33" spans="6:136" ht="15" customHeight="1" x14ac:dyDescent="0.25">
      <c r="F33" s="14">
        <v>0</v>
      </c>
      <c r="G33" s="1">
        <f>$C$14</f>
        <v>300</v>
      </c>
      <c r="H33" s="27">
        <v>0</v>
      </c>
      <c r="I33" s="27">
        <v>0</v>
      </c>
      <c r="J33" s="27">
        <v>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7">
        <v>0</v>
      </c>
      <c r="AB33" s="27">
        <v>0</v>
      </c>
      <c r="AC33" s="27">
        <v>0</v>
      </c>
      <c r="AD33" s="27">
        <v>0</v>
      </c>
      <c r="AE33" s="27">
        <v>0</v>
      </c>
      <c r="AF33" s="27">
        <v>0</v>
      </c>
      <c r="AG33" s="27">
        <v>0</v>
      </c>
      <c r="AH33" s="27">
        <v>0</v>
      </c>
      <c r="AI33" s="27">
        <v>0</v>
      </c>
      <c r="AJ33" s="27">
        <v>100</v>
      </c>
      <c r="AK33" s="13">
        <v>1</v>
      </c>
    </row>
    <row r="34" spans="6:136" x14ac:dyDescent="0.25">
      <c r="F34" s="13"/>
      <c r="G34" s="14">
        <v>0</v>
      </c>
      <c r="H34" s="14">
        <f>$C$5+G34</f>
        <v>3.4482758620689659E-3</v>
      </c>
      <c r="I34" s="14">
        <f t="shared" ref="I34:AJ34" si="2">$C$5+H34</f>
        <v>6.8965517241379318E-3</v>
      </c>
      <c r="J34" s="14">
        <f t="shared" si="2"/>
        <v>1.0344827586206898E-2</v>
      </c>
      <c r="K34" s="14">
        <f t="shared" si="2"/>
        <v>1.3793103448275864E-2</v>
      </c>
      <c r="L34" s="14">
        <f t="shared" si="2"/>
        <v>1.7241379310344831E-2</v>
      </c>
      <c r="M34" s="14">
        <f t="shared" si="2"/>
        <v>2.0689655172413796E-2</v>
      </c>
      <c r="N34" s="14">
        <f t="shared" si="2"/>
        <v>2.4137931034482762E-2</v>
      </c>
      <c r="O34" s="14">
        <f t="shared" si="2"/>
        <v>2.7586206896551727E-2</v>
      </c>
      <c r="P34" s="14">
        <f t="shared" si="2"/>
        <v>3.1034482758620693E-2</v>
      </c>
      <c r="Q34" s="14">
        <f t="shared" si="2"/>
        <v>3.4482758620689662E-2</v>
      </c>
      <c r="R34" s="14">
        <f t="shared" si="2"/>
        <v>3.7931034482758627E-2</v>
      </c>
      <c r="S34" s="14">
        <f t="shared" si="2"/>
        <v>4.1379310344827593E-2</v>
      </c>
      <c r="T34" s="14">
        <f t="shared" si="2"/>
        <v>4.4827586206896558E-2</v>
      </c>
      <c r="U34" s="14">
        <f t="shared" si="2"/>
        <v>4.8275862068965524E-2</v>
      </c>
      <c r="V34" s="14">
        <f t="shared" si="2"/>
        <v>5.1724137931034489E-2</v>
      </c>
      <c r="W34" s="14">
        <f t="shared" si="2"/>
        <v>5.5172413793103454E-2</v>
      </c>
      <c r="X34" s="14">
        <f t="shared" si="2"/>
        <v>5.862068965517242E-2</v>
      </c>
      <c r="Y34" s="14">
        <f t="shared" si="2"/>
        <v>6.2068965517241385E-2</v>
      </c>
      <c r="Z34" s="14">
        <f t="shared" si="2"/>
        <v>6.5517241379310351E-2</v>
      </c>
      <c r="AA34" s="14">
        <f t="shared" si="2"/>
        <v>6.8965517241379323E-2</v>
      </c>
      <c r="AB34" s="14">
        <f t="shared" si="2"/>
        <v>7.2413793103448296E-2</v>
      </c>
      <c r="AC34" s="14">
        <f t="shared" si="2"/>
        <v>7.5862068965517268E-2</v>
      </c>
      <c r="AD34" s="14">
        <f t="shared" si="2"/>
        <v>7.931034482758624E-2</v>
      </c>
      <c r="AE34" s="14">
        <f t="shared" si="2"/>
        <v>8.2758620689655213E-2</v>
      </c>
      <c r="AF34" s="14">
        <f t="shared" si="2"/>
        <v>8.6206896551724185E-2</v>
      </c>
      <c r="AG34" s="14">
        <f t="shared" si="2"/>
        <v>8.9655172413793158E-2</v>
      </c>
      <c r="AH34" s="14">
        <f t="shared" si="2"/>
        <v>9.310344827586213E-2</v>
      </c>
      <c r="AI34" s="14">
        <f t="shared" si="2"/>
        <v>9.6551724137931103E-2</v>
      </c>
      <c r="AJ34" s="14">
        <f t="shared" si="2"/>
        <v>0.10000000000000007</v>
      </c>
      <c r="AK34" s="13"/>
    </row>
    <row r="36" spans="6:136" ht="15" customHeight="1" x14ac:dyDescent="0.25"/>
    <row r="37" spans="6:136" ht="15" customHeight="1" x14ac:dyDescent="0.25">
      <c r="F37" s="34" t="s">
        <v>26</v>
      </c>
      <c r="G37" s="16">
        <f>$C$14</f>
        <v>300</v>
      </c>
      <c r="H37" s="23">
        <f t="shared" ref="H37:AH46" si="3">BW37*I37+DD37</f>
        <v>118.45444691446514</v>
      </c>
      <c r="I37" s="23">
        <f t="shared" si="3"/>
        <v>46.771519980277262</v>
      </c>
      <c r="J37" s="23">
        <f t="shared" si="3"/>
        <v>18.467648438023144</v>
      </c>
      <c r="K37" s="23">
        <f t="shared" si="3"/>
        <v>7.2919169453029777</v>
      </c>
      <c r="L37" s="23">
        <f t="shared" si="3"/>
        <v>2.8791999797365877</v>
      </c>
      <c r="M37" s="23">
        <f t="shared" si="3"/>
        <v>1.1368468479330263</v>
      </c>
      <c r="N37" s="23">
        <f t="shared" si="3"/>
        <v>0.4488819936416657</v>
      </c>
      <c r="O37" s="23">
        <f t="shared" si="3"/>
        <v>0.17724051038538166</v>
      </c>
      <c r="P37" s="23">
        <f t="shared" si="3"/>
        <v>6.998380489437428E-2</v>
      </c>
      <c r="Q37" s="23">
        <f t="shared" si="3"/>
        <v>2.7634790030729509E-2</v>
      </c>
      <c r="R37" s="23">
        <f t="shared" si="3"/>
        <v>1.0916139285953969E-2</v>
      </c>
      <c r="S37" s="23">
        <f t="shared" si="3"/>
        <v>4.3218507802320468E-3</v>
      </c>
      <c r="T37" s="23">
        <f t="shared" si="3"/>
        <v>1.7359375522520962E-3</v>
      </c>
      <c r="U37" s="23">
        <f t="shared" si="3"/>
        <v>7.600496402729004E-4</v>
      </c>
      <c r="V37" s="23">
        <f t="shared" si="3"/>
        <v>4.8908291665620478E-4</v>
      </c>
      <c r="W37" s="23">
        <f t="shared" si="3"/>
        <v>6.7172460563384923E-4</v>
      </c>
      <c r="X37" s="23">
        <f t="shared" si="3"/>
        <v>1.4773689015013898E-3</v>
      </c>
      <c r="Y37" s="23">
        <f t="shared" si="3"/>
        <v>3.6532245447780669E-3</v>
      </c>
      <c r="Z37" s="23">
        <f t="shared" si="3"/>
        <v>9.2173264959345223E-3</v>
      </c>
      <c r="AA37" s="23">
        <f t="shared" si="3"/>
        <v>2.3330197373165804E-2</v>
      </c>
      <c r="AB37" s="23">
        <f t="shared" si="3"/>
        <v>5.9081063435972983E-2</v>
      </c>
      <c r="AC37" s="23">
        <f t="shared" si="3"/>
        <v>0.14962768393404643</v>
      </c>
      <c r="AD37" s="23">
        <f t="shared" si="3"/>
        <v>0.37894908858022486</v>
      </c>
      <c r="AE37" s="23">
        <f t="shared" si="3"/>
        <v>0.95973338156478072</v>
      </c>
      <c r="AF37" s="23">
        <f t="shared" si="3"/>
        <v>2.4306390034679204</v>
      </c>
      <c r="AG37" s="23">
        <f t="shared" si="3"/>
        <v>6.1558828212152665</v>
      </c>
      <c r="AH37" s="23">
        <f t="shared" si="3"/>
        <v>15.590506663395324</v>
      </c>
      <c r="AI37" s="23">
        <f>CX37*AJ37+EE37</f>
        <v>39.484815639283291</v>
      </c>
      <c r="AJ37" s="16">
        <f>$C$15</f>
        <v>100</v>
      </c>
      <c r="AN37" s="39" t="s">
        <v>25</v>
      </c>
      <c r="AO37" s="18">
        <f t="shared" ref="AO37:AO66" si="4">-($C$11*$C$10/$C$8)*G4</f>
        <v>-1076400000</v>
      </c>
      <c r="AP37" s="18">
        <f t="shared" ref="AP37:AP66" si="5">-($C$11*$C$10/$C$8)*H4</f>
        <v>0</v>
      </c>
      <c r="AQ37" s="18">
        <f t="shared" ref="AQ37:AQ66" si="6">-($C$11*$C$10/$C$8)*I4</f>
        <v>0</v>
      </c>
      <c r="AR37" s="18">
        <f t="shared" ref="AR37:AR66" si="7">-($C$11*$C$10/$C$8)*J4</f>
        <v>0</v>
      </c>
      <c r="AS37" s="18">
        <f t="shared" ref="AS37:AS66" si="8">-($C$11*$C$10/$C$8)*K4</f>
        <v>0</v>
      </c>
      <c r="AT37" s="18">
        <f t="shared" ref="AT37:AT66" si="9">-($C$11*$C$10/$C$8)*L4</f>
        <v>0</v>
      </c>
      <c r="AU37" s="18">
        <f t="shared" ref="AU37:AU66" si="10">-($C$11*$C$10/$C$8)*M4</f>
        <v>0</v>
      </c>
      <c r="AV37" s="18">
        <f t="shared" ref="AV37:AV66" si="11">-($C$11*$C$10/$C$8)*N4</f>
        <v>0</v>
      </c>
      <c r="AW37" s="18">
        <f t="shared" ref="AW37:AW66" si="12">-($C$11*$C$10/$C$8)*O4</f>
        <v>0</v>
      </c>
      <c r="AX37" s="18">
        <f t="shared" ref="AX37:AX66" si="13">-($C$11*$C$10/$C$8)*P4</f>
        <v>0</v>
      </c>
      <c r="AY37" s="18">
        <f t="shared" ref="AY37:AY66" si="14">-($C$11*$C$10/$C$8)*Q4</f>
        <v>0</v>
      </c>
      <c r="AZ37" s="18">
        <f t="shared" ref="AZ37:AZ66" si="15">-($C$11*$C$10/$C$8)*R4</f>
        <v>0</v>
      </c>
      <c r="BA37" s="18">
        <f t="shared" ref="BA37:BA66" si="16">-($C$11*$C$10/$C$8)*S4</f>
        <v>0</v>
      </c>
      <c r="BB37" s="18">
        <f t="shared" ref="BB37:BB66" si="17">-($C$11*$C$10/$C$8)*T4</f>
        <v>0</v>
      </c>
      <c r="BC37" s="18">
        <f t="shared" ref="BC37:BC66" si="18">-($C$11*$C$10/$C$8)*U4</f>
        <v>0</v>
      </c>
      <c r="BD37" s="18">
        <f t="shared" ref="BD37:BD66" si="19">-($C$11*$C$10/$C$8)*V4</f>
        <v>0</v>
      </c>
      <c r="BE37" s="18">
        <f t="shared" ref="BE37:BE66" si="20">-($C$11*$C$10/$C$8)*W4</f>
        <v>0</v>
      </c>
      <c r="BF37" s="18">
        <f t="shared" ref="BF37:BF66" si="21">-($C$11*$C$10/$C$8)*X4</f>
        <v>0</v>
      </c>
      <c r="BG37" s="18">
        <f t="shared" ref="BG37:BG66" si="22">-($C$11*$C$10/$C$8)*Y4</f>
        <v>0</v>
      </c>
      <c r="BH37" s="18">
        <f t="shared" ref="BH37:BH66" si="23">-($C$11*$C$10/$C$8)*Z4</f>
        <v>0</v>
      </c>
      <c r="BI37" s="18">
        <f t="shared" ref="BI37:BI66" si="24">-($C$11*$C$10/$C$8)*AA4</f>
        <v>0</v>
      </c>
      <c r="BJ37" s="18">
        <f t="shared" ref="BJ37:BJ66" si="25">-($C$11*$C$10/$C$8)*AB4</f>
        <v>0</v>
      </c>
      <c r="BK37" s="18">
        <f t="shared" ref="BK37:BK66" si="26">-($C$11*$C$10/$C$8)*AC4</f>
        <v>0</v>
      </c>
      <c r="BL37" s="18">
        <f t="shared" ref="BL37:BL66" si="27">-($C$11*$C$10/$C$8)*AD4</f>
        <v>0</v>
      </c>
      <c r="BM37" s="18">
        <f t="shared" ref="BM37:BM66" si="28">-($C$11*$C$10/$C$8)*AE4</f>
        <v>0</v>
      </c>
      <c r="BN37" s="18">
        <f t="shared" ref="BN37:BN66" si="29">-($C$11*$C$10/$C$8)*AF4</f>
        <v>0</v>
      </c>
      <c r="BO37" s="18">
        <f t="shared" ref="BO37:BO66" si="30">-($C$11*$C$10/$C$8)*AG4</f>
        <v>0</v>
      </c>
      <c r="BP37" s="18">
        <f t="shared" ref="BP37:BP66" si="31">-($C$11*$C$10/$C$8)*AH4</f>
        <v>0</v>
      </c>
      <c r="BQ37" s="18">
        <f t="shared" ref="BQ37:BQ66" si="32">-($C$11*$C$10/$C$8)*AI4</f>
        <v>0</v>
      </c>
      <c r="BR37" s="18">
        <f t="shared" ref="BR37:BR66" si="33">-($C$11*$C$10/$C$8)*AJ4</f>
        <v>-358800000</v>
      </c>
      <c r="BU37" s="36" t="s">
        <v>28</v>
      </c>
      <c r="BV37" s="24">
        <v>0</v>
      </c>
      <c r="BW37" s="24">
        <f>$C$18/($C$19-$C$20*BV37)</f>
        <v>0.3415922014622258</v>
      </c>
      <c r="BX37" s="24">
        <f t="shared" ref="BX37:CY46" si="34">$C$18/($C$19-$C$20*BW37)</f>
        <v>0.3867162803971414</v>
      </c>
      <c r="BY37" s="24">
        <f t="shared" si="34"/>
        <v>0.39358441341045353</v>
      </c>
      <c r="BZ37" s="24">
        <f t="shared" si="34"/>
        <v>0.39465123071155611</v>
      </c>
      <c r="CA37" s="24">
        <f t="shared" si="34"/>
        <v>0.39481745705771337</v>
      </c>
      <c r="CB37" s="24">
        <f t="shared" si="34"/>
        <v>0.39484337025824801</v>
      </c>
      <c r="CC37" s="24">
        <f t="shared" si="34"/>
        <v>0.39484741020089792</v>
      </c>
      <c r="CD37" s="24">
        <f t="shared" si="34"/>
        <v>0.39484804004704999</v>
      </c>
      <c r="CE37" s="24">
        <f t="shared" si="34"/>
        <v>0.39484813824322279</v>
      </c>
      <c r="CF37" s="24">
        <f t="shared" si="34"/>
        <v>0.39484815355250286</v>
      </c>
      <c r="CG37" s="24">
        <f t="shared" si="34"/>
        <v>0.39484815593929717</v>
      </c>
      <c r="CH37" s="24">
        <f t="shared" si="34"/>
        <v>0.39484815631141046</v>
      </c>
      <c r="CI37" s="24">
        <f t="shared" si="34"/>
        <v>0.39484815636942483</v>
      </c>
      <c r="CJ37" s="24">
        <f t="shared" si="34"/>
        <v>0.39484815637846954</v>
      </c>
      <c r="CK37" s="24">
        <f t="shared" si="34"/>
        <v>0.39484815637987963</v>
      </c>
      <c r="CL37" s="24">
        <f t="shared" si="34"/>
        <v>0.39484815638009951</v>
      </c>
      <c r="CM37" s="24">
        <f t="shared" si="34"/>
        <v>0.39484815638013382</v>
      </c>
      <c r="CN37" s="24">
        <f t="shared" si="34"/>
        <v>0.39484815638013915</v>
      </c>
      <c r="CO37" s="24">
        <f t="shared" si="34"/>
        <v>0.39484815638013998</v>
      </c>
      <c r="CP37" s="24">
        <f t="shared" si="34"/>
        <v>0.39484815638014015</v>
      </c>
      <c r="CQ37" s="24">
        <f t="shared" si="34"/>
        <v>0.39484815638014015</v>
      </c>
      <c r="CR37" s="24">
        <f t="shared" si="34"/>
        <v>0.39484815638014015</v>
      </c>
      <c r="CS37" s="24">
        <f t="shared" si="34"/>
        <v>0.39484815638014015</v>
      </c>
      <c r="CT37" s="24">
        <f t="shared" si="34"/>
        <v>0.39484815638014015</v>
      </c>
      <c r="CU37" s="24">
        <f t="shared" si="34"/>
        <v>0.39484815638014015</v>
      </c>
      <c r="CV37" s="24">
        <f t="shared" si="34"/>
        <v>0.39484815638014015</v>
      </c>
      <c r="CW37" s="24">
        <f t="shared" si="34"/>
        <v>0.39484815638014015</v>
      </c>
      <c r="CX37" s="24">
        <f t="shared" si="34"/>
        <v>0.39484815638014015</v>
      </c>
      <c r="CY37" s="24">
        <f t="shared" si="34"/>
        <v>0.39484815638014015</v>
      </c>
      <c r="DB37" s="36" t="s">
        <v>27</v>
      </c>
      <c r="DC37" s="16">
        <f>$C$14</f>
        <v>300</v>
      </c>
      <c r="DD37" s="24">
        <f>(DC37*$C$20-AP37)/($C$19-$C$20*BV37)</f>
        <v>102.47766043866774</v>
      </c>
      <c r="DE37" s="24">
        <f t="shared" ref="DE37:EF46" si="35">(DD37*$C$20-AQ37)/($C$19-$C$20*BW37)</f>
        <v>39.629779668642875</v>
      </c>
      <c r="DF37" s="24">
        <f t="shared" si="35"/>
        <v>15.597663584468325</v>
      </c>
      <c r="DG37" s="24">
        <f t="shared" si="35"/>
        <v>6.1556371298352461</v>
      </c>
      <c r="DH37" s="24">
        <f t="shared" si="35"/>
        <v>2.4303529981715934</v>
      </c>
      <c r="DI37" s="24">
        <f t="shared" si="35"/>
        <v>0.95960876871530965</v>
      </c>
      <c r="DJ37" s="24">
        <f t="shared" si="35"/>
        <v>0.37889903713331241</v>
      </c>
      <c r="DK37" s="24">
        <f t="shared" si="35"/>
        <v>0.14960754218780284</v>
      </c>
      <c r="DL37" s="24">
        <f t="shared" si="35"/>
        <v>5.9072259499998357E-2</v>
      </c>
      <c r="DM37" s="24">
        <f t="shared" si="35"/>
        <v>2.3324572589748647E-2</v>
      </c>
      <c r="DN37" s="24">
        <f t="shared" si="35"/>
        <v>9.2096644751345318E-3</v>
      </c>
      <c r="DO37" s="24">
        <f t="shared" si="35"/>
        <v>3.6364190382535641E-3</v>
      </c>
      <c r="DP37" s="24">
        <f t="shared" si="35"/>
        <v>1.4358333530410969E-3</v>
      </c>
      <c r="DQ37" s="24">
        <f t="shared" si="35"/>
        <v>5.6693615231499328E-4</v>
      </c>
      <c r="DR37" s="24">
        <f t="shared" si="35"/>
        <v>2.2385369452667772E-4</v>
      </c>
      <c r="DS37" s="24">
        <f t="shared" si="35"/>
        <v>8.8388218582732665E-5</v>
      </c>
      <c r="DT37" s="24">
        <f t="shared" si="35"/>
        <v>3.4899925153116278E-5</v>
      </c>
      <c r="DU37" s="24">
        <f t="shared" si="35"/>
        <v>1.3780171104512806E-5</v>
      </c>
      <c r="DV37" s="24">
        <f t="shared" si="35"/>
        <v>5.4410751552197585E-6</v>
      </c>
      <c r="DW37" s="24">
        <f t="shared" si="35"/>
        <v>2.1483984937643062E-6</v>
      </c>
      <c r="DX37" s="24">
        <f t="shared" si="35"/>
        <v>8.4829118443270635E-7</v>
      </c>
      <c r="DY37" s="24">
        <f t="shared" si="35"/>
        <v>3.3494621024677948E-7</v>
      </c>
      <c r="DZ37" s="24">
        <f t="shared" si="35"/>
        <v>1.3225289360245567E-7</v>
      </c>
      <c r="EA37" s="24">
        <f t="shared" si="35"/>
        <v>5.2219811214868452E-8</v>
      </c>
      <c r="EB37" s="24">
        <f t="shared" si="35"/>
        <v>2.0618896184709772E-8</v>
      </c>
      <c r="EC37" s="24">
        <f t="shared" si="35"/>
        <v>8.1413331451261602E-9</v>
      </c>
      <c r="ED37" s="24">
        <f t="shared" si="35"/>
        <v>3.2145903828295923E-9</v>
      </c>
      <c r="EE37" s="24">
        <f t="shared" si="35"/>
        <v>1.2692750861775935E-9</v>
      </c>
      <c r="EF37" s="24">
        <f t="shared" si="35"/>
        <v>36.620875384152697</v>
      </c>
    </row>
    <row r="38" spans="6:136" ht="15" customHeight="1" x14ac:dyDescent="0.25">
      <c r="F38" s="34"/>
      <c r="G38" s="16">
        <f t="shared" ref="G38:G66" si="36">$C$14</f>
        <v>300</v>
      </c>
      <c r="H38" s="17">
        <f t="shared" si="3"/>
        <v>118.45444691446514</v>
      </c>
      <c r="I38" s="17">
        <f t="shared" si="3"/>
        <v>46.771519980277262</v>
      </c>
      <c r="J38" s="17">
        <f t="shared" si="3"/>
        <v>18.467648438023144</v>
      </c>
      <c r="K38" s="17">
        <f t="shared" si="3"/>
        <v>7.2919169453029777</v>
      </c>
      <c r="L38" s="17">
        <f t="shared" si="3"/>
        <v>2.8791999797365877</v>
      </c>
      <c r="M38" s="17">
        <f t="shared" si="3"/>
        <v>1.1368468479330263</v>
      </c>
      <c r="N38" s="17">
        <f t="shared" si="3"/>
        <v>0.4488819936416657</v>
      </c>
      <c r="O38" s="17">
        <f t="shared" si="3"/>
        <v>0.17724051038538166</v>
      </c>
      <c r="P38" s="17">
        <f t="shared" si="3"/>
        <v>6.998380489437428E-2</v>
      </c>
      <c r="Q38" s="17">
        <f t="shared" si="3"/>
        <v>2.7634790030729509E-2</v>
      </c>
      <c r="R38" s="17">
        <f t="shared" si="3"/>
        <v>1.0916139285953969E-2</v>
      </c>
      <c r="S38" s="17">
        <f t="shared" si="3"/>
        <v>4.3218507802320468E-3</v>
      </c>
      <c r="T38" s="17">
        <f t="shared" si="3"/>
        <v>1.7359375522520962E-3</v>
      </c>
      <c r="U38" s="17">
        <f t="shared" si="3"/>
        <v>7.600496402729004E-4</v>
      </c>
      <c r="V38" s="17">
        <f t="shared" si="3"/>
        <v>4.8908291665620478E-4</v>
      </c>
      <c r="W38" s="17">
        <f t="shared" si="3"/>
        <v>6.7172460563384923E-4</v>
      </c>
      <c r="X38" s="17">
        <f t="shared" si="3"/>
        <v>1.4773689015013898E-3</v>
      </c>
      <c r="Y38" s="17">
        <f t="shared" si="3"/>
        <v>3.6532245447780669E-3</v>
      </c>
      <c r="Z38" s="17">
        <f t="shared" si="3"/>
        <v>9.2173264959345223E-3</v>
      </c>
      <c r="AA38" s="17">
        <f t="shared" si="3"/>
        <v>2.3330197373165804E-2</v>
      </c>
      <c r="AB38" s="17">
        <f t="shared" si="3"/>
        <v>5.9081063435972983E-2</v>
      </c>
      <c r="AC38" s="17">
        <f t="shared" si="3"/>
        <v>0.14962768393404643</v>
      </c>
      <c r="AD38" s="17">
        <f t="shared" si="3"/>
        <v>0.37894908858022486</v>
      </c>
      <c r="AE38" s="17">
        <f t="shared" si="3"/>
        <v>0.95973338156478072</v>
      </c>
      <c r="AF38" s="17">
        <f t="shared" si="3"/>
        <v>2.4306390034679204</v>
      </c>
      <c r="AG38" s="17">
        <f t="shared" si="3"/>
        <v>6.1558828212152665</v>
      </c>
      <c r="AH38" s="17">
        <f t="shared" si="3"/>
        <v>15.590506663395324</v>
      </c>
      <c r="AI38" s="17">
        <f>CX38*AJ38+EE38</f>
        <v>39.484815639283291</v>
      </c>
      <c r="AJ38" s="16">
        <f t="shared" ref="AJ38:AJ66" si="37">$C$15</f>
        <v>100</v>
      </c>
      <c r="AN38" s="39"/>
      <c r="AO38" s="18">
        <f t="shared" si="4"/>
        <v>-1076400000</v>
      </c>
      <c r="AP38" s="19">
        <f t="shared" si="5"/>
        <v>0</v>
      </c>
      <c r="AQ38" s="19">
        <f t="shared" si="6"/>
        <v>0</v>
      </c>
      <c r="AR38" s="19">
        <f t="shared" si="7"/>
        <v>0</v>
      </c>
      <c r="AS38" s="19">
        <f t="shared" si="8"/>
        <v>0</v>
      </c>
      <c r="AT38" s="19">
        <f t="shared" si="9"/>
        <v>0</v>
      </c>
      <c r="AU38" s="19">
        <f t="shared" si="10"/>
        <v>0</v>
      </c>
      <c r="AV38" s="19">
        <f t="shared" si="11"/>
        <v>0</v>
      </c>
      <c r="AW38" s="19">
        <f t="shared" si="12"/>
        <v>0</v>
      </c>
      <c r="AX38" s="19">
        <f t="shared" si="13"/>
        <v>0</v>
      </c>
      <c r="AY38" s="19">
        <f t="shared" si="14"/>
        <v>0</v>
      </c>
      <c r="AZ38" s="19">
        <f t="shared" si="15"/>
        <v>0</v>
      </c>
      <c r="BA38" s="19">
        <f t="shared" si="16"/>
        <v>0</v>
      </c>
      <c r="BB38" s="19">
        <f t="shared" si="17"/>
        <v>0</v>
      </c>
      <c r="BC38" s="19">
        <f t="shared" si="18"/>
        <v>0</v>
      </c>
      <c r="BD38" s="19">
        <f t="shared" si="19"/>
        <v>0</v>
      </c>
      <c r="BE38" s="19">
        <f t="shared" si="20"/>
        <v>0</v>
      </c>
      <c r="BF38" s="19">
        <f t="shared" si="21"/>
        <v>0</v>
      </c>
      <c r="BG38" s="19">
        <f t="shared" si="22"/>
        <v>0</v>
      </c>
      <c r="BH38" s="19">
        <f t="shared" si="23"/>
        <v>0</v>
      </c>
      <c r="BI38" s="19">
        <f t="shared" si="24"/>
        <v>0</v>
      </c>
      <c r="BJ38" s="19">
        <f t="shared" si="25"/>
        <v>0</v>
      </c>
      <c r="BK38" s="19">
        <f t="shared" si="26"/>
        <v>0</v>
      </c>
      <c r="BL38" s="19">
        <f t="shared" si="27"/>
        <v>0</v>
      </c>
      <c r="BM38" s="19">
        <f t="shared" si="28"/>
        <v>0</v>
      </c>
      <c r="BN38" s="19">
        <f t="shared" si="29"/>
        <v>0</v>
      </c>
      <c r="BO38" s="19">
        <f t="shared" si="30"/>
        <v>0</v>
      </c>
      <c r="BP38" s="19">
        <f t="shared" si="31"/>
        <v>0</v>
      </c>
      <c r="BQ38" s="19">
        <f t="shared" si="32"/>
        <v>0</v>
      </c>
      <c r="BR38" s="18">
        <f t="shared" si="33"/>
        <v>-358800000</v>
      </c>
      <c r="BU38" s="37"/>
      <c r="BV38" s="24">
        <v>0</v>
      </c>
      <c r="BW38" s="20">
        <f t="shared" ref="BW38:CL66" si="38">$C$18/($C$19-$C$20*BV38)</f>
        <v>0.3415922014622258</v>
      </c>
      <c r="BX38" s="20">
        <f t="shared" si="38"/>
        <v>0.3867162803971414</v>
      </c>
      <c r="BY38" s="20">
        <f t="shared" si="38"/>
        <v>0.39358441341045353</v>
      </c>
      <c r="BZ38" s="20">
        <f t="shared" si="38"/>
        <v>0.39465123071155611</v>
      </c>
      <c r="CA38" s="20">
        <f t="shared" si="38"/>
        <v>0.39481745705771337</v>
      </c>
      <c r="CB38" s="20">
        <f t="shared" si="38"/>
        <v>0.39484337025824801</v>
      </c>
      <c r="CC38" s="20">
        <f t="shared" si="38"/>
        <v>0.39484741020089792</v>
      </c>
      <c r="CD38" s="20">
        <f t="shared" si="38"/>
        <v>0.39484804004704999</v>
      </c>
      <c r="CE38" s="20">
        <f t="shared" si="38"/>
        <v>0.39484813824322279</v>
      </c>
      <c r="CF38" s="20">
        <f t="shared" si="38"/>
        <v>0.39484815355250286</v>
      </c>
      <c r="CG38" s="20">
        <f t="shared" si="38"/>
        <v>0.39484815593929717</v>
      </c>
      <c r="CH38" s="20">
        <f t="shared" si="38"/>
        <v>0.39484815631141046</v>
      </c>
      <c r="CI38" s="20">
        <f t="shared" si="38"/>
        <v>0.39484815636942483</v>
      </c>
      <c r="CJ38" s="20">
        <f t="shared" si="38"/>
        <v>0.39484815637846954</v>
      </c>
      <c r="CK38" s="20">
        <f t="shared" si="38"/>
        <v>0.39484815637987963</v>
      </c>
      <c r="CL38" s="20">
        <f t="shared" si="38"/>
        <v>0.39484815638009951</v>
      </c>
      <c r="CM38" s="20">
        <f t="shared" si="34"/>
        <v>0.39484815638013382</v>
      </c>
      <c r="CN38" s="20">
        <f t="shared" si="34"/>
        <v>0.39484815638013915</v>
      </c>
      <c r="CO38" s="20">
        <f t="shared" si="34"/>
        <v>0.39484815638013998</v>
      </c>
      <c r="CP38" s="20">
        <f t="shared" si="34"/>
        <v>0.39484815638014015</v>
      </c>
      <c r="CQ38" s="20">
        <f t="shared" si="34"/>
        <v>0.39484815638014015</v>
      </c>
      <c r="CR38" s="20">
        <f t="shared" si="34"/>
        <v>0.39484815638014015</v>
      </c>
      <c r="CS38" s="20">
        <f t="shared" si="34"/>
        <v>0.39484815638014015</v>
      </c>
      <c r="CT38" s="20">
        <f t="shared" si="34"/>
        <v>0.39484815638014015</v>
      </c>
      <c r="CU38" s="20">
        <f t="shared" si="34"/>
        <v>0.39484815638014015</v>
      </c>
      <c r="CV38" s="20">
        <f t="shared" si="34"/>
        <v>0.39484815638014015</v>
      </c>
      <c r="CW38" s="20">
        <f t="shared" si="34"/>
        <v>0.39484815638014015</v>
      </c>
      <c r="CX38" s="20">
        <f t="shared" si="34"/>
        <v>0.39484815638014015</v>
      </c>
      <c r="CY38" s="24">
        <f t="shared" si="34"/>
        <v>0.39484815638014015</v>
      </c>
      <c r="DB38" s="37"/>
      <c r="DC38" s="16">
        <f t="shared" ref="DC38:DC66" si="39">$C$14</f>
        <v>300</v>
      </c>
      <c r="DD38" s="20">
        <f t="shared" ref="DD38:DD66" si="40">(DC38*$C$20-AP38)/($C$19-$C$20*BV38)</f>
        <v>102.47766043866774</v>
      </c>
      <c r="DE38" s="20">
        <f t="shared" si="35"/>
        <v>39.629779668642875</v>
      </c>
      <c r="DF38" s="20">
        <f t="shared" si="35"/>
        <v>15.597663584468325</v>
      </c>
      <c r="DG38" s="20">
        <f t="shared" si="35"/>
        <v>6.1556371298352461</v>
      </c>
      <c r="DH38" s="20">
        <f t="shared" si="35"/>
        <v>2.4303529981715934</v>
      </c>
      <c r="DI38" s="20">
        <f t="shared" si="35"/>
        <v>0.95960876871530965</v>
      </c>
      <c r="DJ38" s="20">
        <f t="shared" si="35"/>
        <v>0.37889903713331241</v>
      </c>
      <c r="DK38" s="20">
        <f t="shared" si="35"/>
        <v>0.14960754218780284</v>
      </c>
      <c r="DL38" s="20">
        <f t="shared" si="35"/>
        <v>5.9072259499998357E-2</v>
      </c>
      <c r="DM38" s="20">
        <f t="shared" si="35"/>
        <v>2.3324572589748647E-2</v>
      </c>
      <c r="DN38" s="20">
        <f t="shared" si="35"/>
        <v>9.2096644751345318E-3</v>
      </c>
      <c r="DO38" s="20">
        <f t="shared" si="35"/>
        <v>3.6364190382535641E-3</v>
      </c>
      <c r="DP38" s="20">
        <f t="shared" si="35"/>
        <v>1.4358333530410969E-3</v>
      </c>
      <c r="DQ38" s="20">
        <f t="shared" si="35"/>
        <v>5.6693615231499328E-4</v>
      </c>
      <c r="DR38" s="20">
        <f t="shared" si="35"/>
        <v>2.2385369452667772E-4</v>
      </c>
      <c r="DS38" s="20">
        <f t="shared" si="35"/>
        <v>8.8388218582732665E-5</v>
      </c>
      <c r="DT38" s="20">
        <f t="shared" si="35"/>
        <v>3.4899925153116278E-5</v>
      </c>
      <c r="DU38" s="20">
        <f t="shared" si="35"/>
        <v>1.3780171104512806E-5</v>
      </c>
      <c r="DV38" s="20">
        <f t="shared" si="35"/>
        <v>5.4410751552197585E-6</v>
      </c>
      <c r="DW38" s="20">
        <f t="shared" si="35"/>
        <v>2.1483984937643062E-6</v>
      </c>
      <c r="DX38" s="20">
        <f t="shared" si="35"/>
        <v>8.4829118443270635E-7</v>
      </c>
      <c r="DY38" s="20">
        <f t="shared" si="35"/>
        <v>3.3494621024677948E-7</v>
      </c>
      <c r="DZ38" s="20">
        <f t="shared" si="35"/>
        <v>1.3225289360245567E-7</v>
      </c>
      <c r="EA38" s="20">
        <f t="shared" si="35"/>
        <v>5.2219811214868452E-8</v>
      </c>
      <c r="EB38" s="20">
        <f t="shared" si="35"/>
        <v>2.0618896184709772E-8</v>
      </c>
      <c r="EC38" s="20">
        <f t="shared" si="35"/>
        <v>8.1413331451261602E-9</v>
      </c>
      <c r="ED38" s="20">
        <f t="shared" si="35"/>
        <v>3.2145903828295923E-9</v>
      </c>
      <c r="EE38" s="20">
        <f t="shared" si="35"/>
        <v>1.2692750861775935E-9</v>
      </c>
      <c r="EF38" s="24">
        <f t="shared" si="35"/>
        <v>36.620875384152697</v>
      </c>
    </row>
    <row r="39" spans="6:136" ht="15" customHeight="1" x14ac:dyDescent="0.25">
      <c r="F39" s="34"/>
      <c r="G39" s="16">
        <f t="shared" si="36"/>
        <v>300</v>
      </c>
      <c r="H39" s="17">
        <f t="shared" si="3"/>
        <v>118.45444691446514</v>
      </c>
      <c r="I39" s="17">
        <f t="shared" si="3"/>
        <v>46.771519980277262</v>
      </c>
      <c r="J39" s="17">
        <f t="shared" si="3"/>
        <v>18.467648438023144</v>
      </c>
      <c r="K39" s="17">
        <f t="shared" si="3"/>
        <v>7.2919169453029777</v>
      </c>
      <c r="L39" s="17">
        <f t="shared" si="3"/>
        <v>2.8791999797365877</v>
      </c>
      <c r="M39" s="17">
        <f t="shared" si="3"/>
        <v>1.1368468479330263</v>
      </c>
      <c r="N39" s="17">
        <f t="shared" si="3"/>
        <v>0.4488819936416657</v>
      </c>
      <c r="O39" s="17">
        <f t="shared" si="3"/>
        <v>0.17724051038538166</v>
      </c>
      <c r="P39" s="17">
        <f t="shared" si="3"/>
        <v>6.998380489437428E-2</v>
      </c>
      <c r="Q39" s="17">
        <f t="shared" si="3"/>
        <v>2.7634790030729509E-2</v>
      </c>
      <c r="R39" s="17">
        <f t="shared" si="3"/>
        <v>1.0916139285953969E-2</v>
      </c>
      <c r="S39" s="17">
        <f t="shared" si="3"/>
        <v>4.3218507802320468E-3</v>
      </c>
      <c r="T39" s="17">
        <f t="shared" si="3"/>
        <v>1.7359375522520962E-3</v>
      </c>
      <c r="U39" s="17">
        <f t="shared" si="3"/>
        <v>7.600496402729004E-4</v>
      </c>
      <c r="V39" s="17">
        <f t="shared" si="3"/>
        <v>4.8908291665620478E-4</v>
      </c>
      <c r="W39" s="17">
        <f t="shared" si="3"/>
        <v>6.7172460563384923E-4</v>
      </c>
      <c r="X39" s="17">
        <f t="shared" si="3"/>
        <v>1.4773689015013898E-3</v>
      </c>
      <c r="Y39" s="17">
        <f t="shared" si="3"/>
        <v>3.6532245447780669E-3</v>
      </c>
      <c r="Z39" s="17">
        <f t="shared" si="3"/>
        <v>9.2173264959345223E-3</v>
      </c>
      <c r="AA39" s="17">
        <f t="shared" si="3"/>
        <v>2.3330197373165804E-2</v>
      </c>
      <c r="AB39" s="17">
        <f t="shared" si="3"/>
        <v>5.9081063435972983E-2</v>
      </c>
      <c r="AC39" s="17">
        <f t="shared" si="3"/>
        <v>0.14962768393404643</v>
      </c>
      <c r="AD39" s="17">
        <f t="shared" si="3"/>
        <v>0.37894908858022486</v>
      </c>
      <c r="AE39" s="17">
        <f t="shared" si="3"/>
        <v>0.95973338156478072</v>
      </c>
      <c r="AF39" s="17">
        <f t="shared" si="3"/>
        <v>2.4306390034679204</v>
      </c>
      <c r="AG39" s="17">
        <f t="shared" si="3"/>
        <v>6.1558828212152665</v>
      </c>
      <c r="AH39" s="17">
        <f t="shared" si="3"/>
        <v>15.590506663395324</v>
      </c>
      <c r="AI39" s="17">
        <f t="shared" ref="AI39:AI66" si="41">CX39*AJ39+EE39</f>
        <v>39.484815639283291</v>
      </c>
      <c r="AJ39" s="16">
        <f t="shared" si="37"/>
        <v>100</v>
      </c>
      <c r="AN39" s="39"/>
      <c r="AO39" s="18">
        <f t="shared" si="4"/>
        <v>-1076400000</v>
      </c>
      <c r="AP39" s="19">
        <f t="shared" si="5"/>
        <v>0</v>
      </c>
      <c r="AQ39" s="19">
        <f t="shared" si="6"/>
        <v>0</v>
      </c>
      <c r="AR39" s="19">
        <f t="shared" si="7"/>
        <v>0</v>
      </c>
      <c r="AS39" s="19">
        <f t="shared" si="8"/>
        <v>0</v>
      </c>
      <c r="AT39" s="19">
        <f t="shared" si="9"/>
        <v>0</v>
      </c>
      <c r="AU39" s="19">
        <f t="shared" si="10"/>
        <v>0</v>
      </c>
      <c r="AV39" s="19">
        <f t="shared" si="11"/>
        <v>0</v>
      </c>
      <c r="AW39" s="19">
        <f t="shared" si="12"/>
        <v>0</v>
      </c>
      <c r="AX39" s="19">
        <f t="shared" si="13"/>
        <v>0</v>
      </c>
      <c r="AY39" s="19">
        <f t="shared" si="14"/>
        <v>0</v>
      </c>
      <c r="AZ39" s="19">
        <f t="shared" si="15"/>
        <v>0</v>
      </c>
      <c r="BA39" s="19">
        <f t="shared" si="16"/>
        <v>0</v>
      </c>
      <c r="BB39" s="19">
        <f t="shared" si="17"/>
        <v>0</v>
      </c>
      <c r="BC39" s="19">
        <f t="shared" si="18"/>
        <v>0</v>
      </c>
      <c r="BD39" s="19">
        <f t="shared" si="19"/>
        <v>0</v>
      </c>
      <c r="BE39" s="19">
        <f t="shared" si="20"/>
        <v>0</v>
      </c>
      <c r="BF39" s="19">
        <f t="shared" si="21"/>
        <v>0</v>
      </c>
      <c r="BG39" s="19">
        <f t="shared" si="22"/>
        <v>0</v>
      </c>
      <c r="BH39" s="19">
        <f t="shared" si="23"/>
        <v>0</v>
      </c>
      <c r="BI39" s="19">
        <f t="shared" si="24"/>
        <v>0</v>
      </c>
      <c r="BJ39" s="19">
        <f t="shared" si="25"/>
        <v>0</v>
      </c>
      <c r="BK39" s="19">
        <f t="shared" si="26"/>
        <v>0</v>
      </c>
      <c r="BL39" s="19">
        <f t="shared" si="27"/>
        <v>0</v>
      </c>
      <c r="BM39" s="19">
        <f t="shared" si="28"/>
        <v>0</v>
      </c>
      <c r="BN39" s="19">
        <f t="shared" si="29"/>
        <v>0</v>
      </c>
      <c r="BO39" s="19">
        <f t="shared" si="30"/>
        <v>0</v>
      </c>
      <c r="BP39" s="19">
        <f t="shared" si="31"/>
        <v>0</v>
      </c>
      <c r="BQ39" s="19">
        <f t="shared" si="32"/>
        <v>0</v>
      </c>
      <c r="BR39" s="18">
        <f t="shared" si="33"/>
        <v>-358800000</v>
      </c>
      <c r="BU39" s="37"/>
      <c r="BV39" s="24">
        <v>0</v>
      </c>
      <c r="BW39" s="20">
        <f t="shared" si="38"/>
        <v>0.3415922014622258</v>
      </c>
      <c r="BX39" s="20">
        <f t="shared" si="34"/>
        <v>0.3867162803971414</v>
      </c>
      <c r="BY39" s="20">
        <f t="shared" si="34"/>
        <v>0.39358441341045353</v>
      </c>
      <c r="BZ39" s="20">
        <f t="shared" si="34"/>
        <v>0.39465123071155611</v>
      </c>
      <c r="CA39" s="20">
        <f t="shared" si="34"/>
        <v>0.39481745705771337</v>
      </c>
      <c r="CB39" s="20">
        <f t="shared" si="34"/>
        <v>0.39484337025824801</v>
      </c>
      <c r="CC39" s="20">
        <f t="shared" si="34"/>
        <v>0.39484741020089792</v>
      </c>
      <c r="CD39" s="20">
        <f t="shared" si="34"/>
        <v>0.39484804004704999</v>
      </c>
      <c r="CE39" s="20">
        <f t="shared" si="34"/>
        <v>0.39484813824322279</v>
      </c>
      <c r="CF39" s="20">
        <f t="shared" si="34"/>
        <v>0.39484815355250286</v>
      </c>
      <c r="CG39" s="20">
        <f t="shared" si="34"/>
        <v>0.39484815593929717</v>
      </c>
      <c r="CH39" s="20">
        <f t="shared" si="34"/>
        <v>0.39484815631141046</v>
      </c>
      <c r="CI39" s="20">
        <f t="shared" si="34"/>
        <v>0.39484815636942483</v>
      </c>
      <c r="CJ39" s="20">
        <f t="shared" si="34"/>
        <v>0.39484815637846954</v>
      </c>
      <c r="CK39" s="20">
        <f t="shared" si="34"/>
        <v>0.39484815637987963</v>
      </c>
      <c r="CL39" s="20">
        <f t="shared" si="34"/>
        <v>0.39484815638009951</v>
      </c>
      <c r="CM39" s="20">
        <f t="shared" si="34"/>
        <v>0.39484815638013382</v>
      </c>
      <c r="CN39" s="20">
        <f t="shared" si="34"/>
        <v>0.39484815638013915</v>
      </c>
      <c r="CO39" s="20">
        <f t="shared" si="34"/>
        <v>0.39484815638013998</v>
      </c>
      <c r="CP39" s="20">
        <f t="shared" si="34"/>
        <v>0.39484815638014015</v>
      </c>
      <c r="CQ39" s="20">
        <f t="shared" si="34"/>
        <v>0.39484815638014015</v>
      </c>
      <c r="CR39" s="20">
        <f t="shared" si="34"/>
        <v>0.39484815638014015</v>
      </c>
      <c r="CS39" s="20">
        <f t="shared" si="34"/>
        <v>0.39484815638014015</v>
      </c>
      <c r="CT39" s="20">
        <f t="shared" si="34"/>
        <v>0.39484815638014015</v>
      </c>
      <c r="CU39" s="20">
        <f t="shared" si="34"/>
        <v>0.39484815638014015</v>
      </c>
      <c r="CV39" s="20">
        <f t="shared" si="34"/>
        <v>0.39484815638014015</v>
      </c>
      <c r="CW39" s="20">
        <f t="shared" si="34"/>
        <v>0.39484815638014015</v>
      </c>
      <c r="CX39" s="20">
        <f t="shared" si="34"/>
        <v>0.39484815638014015</v>
      </c>
      <c r="CY39" s="24">
        <f t="shared" si="34"/>
        <v>0.39484815638014015</v>
      </c>
      <c r="DB39" s="37"/>
      <c r="DC39" s="16">
        <f t="shared" si="39"/>
        <v>300</v>
      </c>
      <c r="DD39" s="20">
        <f t="shared" si="40"/>
        <v>102.47766043866774</v>
      </c>
      <c r="DE39" s="20">
        <f t="shared" si="35"/>
        <v>39.629779668642875</v>
      </c>
      <c r="DF39" s="20">
        <f t="shared" si="35"/>
        <v>15.597663584468325</v>
      </c>
      <c r="DG39" s="20">
        <f t="shared" si="35"/>
        <v>6.1556371298352461</v>
      </c>
      <c r="DH39" s="20">
        <f t="shared" si="35"/>
        <v>2.4303529981715934</v>
      </c>
      <c r="DI39" s="20">
        <f t="shared" si="35"/>
        <v>0.95960876871530965</v>
      </c>
      <c r="DJ39" s="20">
        <f t="shared" si="35"/>
        <v>0.37889903713331241</v>
      </c>
      <c r="DK39" s="20">
        <f t="shared" si="35"/>
        <v>0.14960754218780284</v>
      </c>
      <c r="DL39" s="20">
        <f t="shared" si="35"/>
        <v>5.9072259499998357E-2</v>
      </c>
      <c r="DM39" s="20">
        <f t="shared" si="35"/>
        <v>2.3324572589748647E-2</v>
      </c>
      <c r="DN39" s="20">
        <f t="shared" si="35"/>
        <v>9.2096644751345318E-3</v>
      </c>
      <c r="DO39" s="20">
        <f t="shared" si="35"/>
        <v>3.6364190382535641E-3</v>
      </c>
      <c r="DP39" s="20">
        <f t="shared" si="35"/>
        <v>1.4358333530410969E-3</v>
      </c>
      <c r="DQ39" s="20">
        <f t="shared" si="35"/>
        <v>5.6693615231499328E-4</v>
      </c>
      <c r="DR39" s="20">
        <f t="shared" si="35"/>
        <v>2.2385369452667772E-4</v>
      </c>
      <c r="DS39" s="20">
        <f t="shared" si="35"/>
        <v>8.8388218582732665E-5</v>
      </c>
      <c r="DT39" s="20">
        <f t="shared" si="35"/>
        <v>3.4899925153116278E-5</v>
      </c>
      <c r="DU39" s="20">
        <f t="shared" si="35"/>
        <v>1.3780171104512806E-5</v>
      </c>
      <c r="DV39" s="20">
        <f t="shared" si="35"/>
        <v>5.4410751552197585E-6</v>
      </c>
      <c r="DW39" s="20">
        <f t="shared" si="35"/>
        <v>2.1483984937643062E-6</v>
      </c>
      <c r="DX39" s="20">
        <f t="shared" si="35"/>
        <v>8.4829118443270635E-7</v>
      </c>
      <c r="DY39" s="20">
        <f t="shared" si="35"/>
        <v>3.3494621024677948E-7</v>
      </c>
      <c r="DZ39" s="20">
        <f t="shared" si="35"/>
        <v>1.3225289360245567E-7</v>
      </c>
      <c r="EA39" s="20">
        <f t="shared" si="35"/>
        <v>5.2219811214868452E-8</v>
      </c>
      <c r="EB39" s="20">
        <f t="shared" si="35"/>
        <v>2.0618896184709772E-8</v>
      </c>
      <c r="EC39" s="20">
        <f t="shared" si="35"/>
        <v>8.1413331451261602E-9</v>
      </c>
      <c r="ED39" s="20">
        <f t="shared" si="35"/>
        <v>3.2145903828295923E-9</v>
      </c>
      <c r="EE39" s="20">
        <f t="shared" si="35"/>
        <v>1.2692750861775935E-9</v>
      </c>
      <c r="EF39" s="24">
        <f t="shared" si="35"/>
        <v>36.620875384152697</v>
      </c>
    </row>
    <row r="40" spans="6:136" ht="15" customHeight="1" x14ac:dyDescent="0.25">
      <c r="F40" s="34"/>
      <c r="G40" s="16">
        <f t="shared" si="36"/>
        <v>300</v>
      </c>
      <c r="H40" s="17">
        <f t="shared" si="3"/>
        <v>118.45444691446514</v>
      </c>
      <c r="I40" s="17">
        <f t="shared" si="3"/>
        <v>46.771519980277262</v>
      </c>
      <c r="J40" s="17">
        <f t="shared" si="3"/>
        <v>18.467648438023144</v>
      </c>
      <c r="K40" s="17">
        <f t="shared" si="3"/>
        <v>7.2919169453029777</v>
      </c>
      <c r="L40" s="17">
        <f t="shared" si="3"/>
        <v>2.8791999797365877</v>
      </c>
      <c r="M40" s="17">
        <f t="shared" si="3"/>
        <v>1.1368468479330263</v>
      </c>
      <c r="N40" s="17">
        <f t="shared" si="3"/>
        <v>0.4488819936416657</v>
      </c>
      <c r="O40" s="17">
        <f t="shared" si="3"/>
        <v>0.17724051038538166</v>
      </c>
      <c r="P40" s="17">
        <f t="shared" si="3"/>
        <v>6.998380489437428E-2</v>
      </c>
      <c r="Q40" s="17">
        <f t="shared" si="3"/>
        <v>2.7634790030729509E-2</v>
      </c>
      <c r="R40" s="17">
        <f t="shared" si="3"/>
        <v>1.0916139285953969E-2</v>
      </c>
      <c r="S40" s="17">
        <f t="shared" si="3"/>
        <v>4.3218507802320468E-3</v>
      </c>
      <c r="T40" s="17">
        <f t="shared" si="3"/>
        <v>1.7359375522520962E-3</v>
      </c>
      <c r="U40" s="17">
        <f t="shared" si="3"/>
        <v>7.600496402729004E-4</v>
      </c>
      <c r="V40" s="17">
        <f t="shared" si="3"/>
        <v>4.8908291665620478E-4</v>
      </c>
      <c r="W40" s="17">
        <f t="shared" si="3"/>
        <v>6.7172460563384923E-4</v>
      </c>
      <c r="X40" s="17">
        <f t="shared" si="3"/>
        <v>1.4773689015013898E-3</v>
      </c>
      <c r="Y40" s="17">
        <f t="shared" si="3"/>
        <v>3.6532245447780669E-3</v>
      </c>
      <c r="Z40" s="17">
        <f t="shared" si="3"/>
        <v>9.2173264959345223E-3</v>
      </c>
      <c r="AA40" s="17">
        <f t="shared" si="3"/>
        <v>2.3330197373165804E-2</v>
      </c>
      <c r="AB40" s="17">
        <f t="shared" si="3"/>
        <v>5.9081063435972983E-2</v>
      </c>
      <c r="AC40" s="17">
        <f t="shared" si="3"/>
        <v>0.14962768393404643</v>
      </c>
      <c r="AD40" s="17">
        <f t="shared" si="3"/>
        <v>0.37894908858022486</v>
      </c>
      <c r="AE40" s="17">
        <f t="shared" si="3"/>
        <v>0.95973338156478072</v>
      </c>
      <c r="AF40" s="17">
        <f t="shared" si="3"/>
        <v>2.4306390034679204</v>
      </c>
      <c r="AG40" s="17">
        <f t="shared" si="3"/>
        <v>6.1558828212152665</v>
      </c>
      <c r="AH40" s="17">
        <f t="shared" si="3"/>
        <v>15.590506663395324</v>
      </c>
      <c r="AI40" s="17">
        <f t="shared" si="41"/>
        <v>39.484815639283291</v>
      </c>
      <c r="AJ40" s="16">
        <f t="shared" si="37"/>
        <v>100</v>
      </c>
      <c r="AN40" s="39"/>
      <c r="AO40" s="18">
        <f t="shared" si="4"/>
        <v>-1076400000</v>
      </c>
      <c r="AP40" s="19">
        <f t="shared" si="5"/>
        <v>0</v>
      </c>
      <c r="AQ40" s="19">
        <f t="shared" si="6"/>
        <v>0</v>
      </c>
      <c r="AR40" s="19">
        <f t="shared" si="7"/>
        <v>0</v>
      </c>
      <c r="AS40" s="19">
        <f t="shared" si="8"/>
        <v>0</v>
      </c>
      <c r="AT40" s="19">
        <f t="shared" si="9"/>
        <v>0</v>
      </c>
      <c r="AU40" s="19">
        <f t="shared" si="10"/>
        <v>0</v>
      </c>
      <c r="AV40" s="19">
        <f t="shared" si="11"/>
        <v>0</v>
      </c>
      <c r="AW40" s="19">
        <f t="shared" si="12"/>
        <v>0</v>
      </c>
      <c r="AX40" s="19">
        <f t="shared" si="13"/>
        <v>0</v>
      </c>
      <c r="AY40" s="19">
        <f t="shared" si="14"/>
        <v>0</v>
      </c>
      <c r="AZ40" s="19">
        <f t="shared" si="15"/>
        <v>0</v>
      </c>
      <c r="BA40" s="19">
        <f t="shared" si="16"/>
        <v>0</v>
      </c>
      <c r="BB40" s="19">
        <f t="shared" si="17"/>
        <v>0</v>
      </c>
      <c r="BC40" s="19">
        <f t="shared" si="18"/>
        <v>0</v>
      </c>
      <c r="BD40" s="19">
        <f t="shared" si="19"/>
        <v>0</v>
      </c>
      <c r="BE40" s="19">
        <f t="shared" si="20"/>
        <v>0</v>
      </c>
      <c r="BF40" s="19">
        <f t="shared" si="21"/>
        <v>0</v>
      </c>
      <c r="BG40" s="19">
        <f t="shared" si="22"/>
        <v>0</v>
      </c>
      <c r="BH40" s="19">
        <f t="shared" si="23"/>
        <v>0</v>
      </c>
      <c r="BI40" s="19">
        <f t="shared" si="24"/>
        <v>0</v>
      </c>
      <c r="BJ40" s="19">
        <f t="shared" si="25"/>
        <v>0</v>
      </c>
      <c r="BK40" s="19">
        <f t="shared" si="26"/>
        <v>0</v>
      </c>
      <c r="BL40" s="19">
        <f t="shared" si="27"/>
        <v>0</v>
      </c>
      <c r="BM40" s="19">
        <f t="shared" si="28"/>
        <v>0</v>
      </c>
      <c r="BN40" s="19">
        <f t="shared" si="29"/>
        <v>0</v>
      </c>
      <c r="BO40" s="19">
        <f t="shared" si="30"/>
        <v>0</v>
      </c>
      <c r="BP40" s="19">
        <f t="shared" si="31"/>
        <v>0</v>
      </c>
      <c r="BQ40" s="19">
        <f t="shared" si="32"/>
        <v>0</v>
      </c>
      <c r="BR40" s="18">
        <f t="shared" si="33"/>
        <v>-358800000</v>
      </c>
      <c r="BU40" s="37"/>
      <c r="BV40" s="24">
        <v>0</v>
      </c>
      <c r="BW40" s="20">
        <f t="shared" si="38"/>
        <v>0.3415922014622258</v>
      </c>
      <c r="BX40" s="20">
        <f t="shared" si="34"/>
        <v>0.3867162803971414</v>
      </c>
      <c r="BY40" s="20">
        <f t="shared" si="34"/>
        <v>0.39358441341045353</v>
      </c>
      <c r="BZ40" s="20">
        <f t="shared" si="34"/>
        <v>0.39465123071155611</v>
      </c>
      <c r="CA40" s="20">
        <f t="shared" si="34"/>
        <v>0.39481745705771337</v>
      </c>
      <c r="CB40" s="20">
        <f t="shared" si="34"/>
        <v>0.39484337025824801</v>
      </c>
      <c r="CC40" s="20">
        <f t="shared" si="34"/>
        <v>0.39484741020089792</v>
      </c>
      <c r="CD40" s="20">
        <f t="shared" si="34"/>
        <v>0.39484804004704999</v>
      </c>
      <c r="CE40" s="20">
        <f t="shared" si="34"/>
        <v>0.39484813824322279</v>
      </c>
      <c r="CF40" s="20">
        <f t="shared" si="34"/>
        <v>0.39484815355250286</v>
      </c>
      <c r="CG40" s="20">
        <f t="shared" si="34"/>
        <v>0.39484815593929717</v>
      </c>
      <c r="CH40" s="20">
        <f t="shared" si="34"/>
        <v>0.39484815631141046</v>
      </c>
      <c r="CI40" s="20">
        <f t="shared" si="34"/>
        <v>0.39484815636942483</v>
      </c>
      <c r="CJ40" s="20">
        <f t="shared" si="34"/>
        <v>0.39484815637846954</v>
      </c>
      <c r="CK40" s="20">
        <f t="shared" si="34"/>
        <v>0.39484815637987963</v>
      </c>
      <c r="CL40" s="20">
        <f t="shared" si="34"/>
        <v>0.39484815638009951</v>
      </c>
      <c r="CM40" s="20">
        <f t="shared" si="34"/>
        <v>0.39484815638013382</v>
      </c>
      <c r="CN40" s="20">
        <f t="shared" si="34"/>
        <v>0.39484815638013915</v>
      </c>
      <c r="CO40" s="20">
        <f t="shared" si="34"/>
        <v>0.39484815638013998</v>
      </c>
      <c r="CP40" s="20">
        <f t="shared" si="34"/>
        <v>0.39484815638014015</v>
      </c>
      <c r="CQ40" s="20">
        <f t="shared" si="34"/>
        <v>0.39484815638014015</v>
      </c>
      <c r="CR40" s="20">
        <f t="shared" si="34"/>
        <v>0.39484815638014015</v>
      </c>
      <c r="CS40" s="20">
        <f t="shared" si="34"/>
        <v>0.39484815638014015</v>
      </c>
      <c r="CT40" s="20">
        <f t="shared" si="34"/>
        <v>0.39484815638014015</v>
      </c>
      <c r="CU40" s="20">
        <f t="shared" si="34"/>
        <v>0.39484815638014015</v>
      </c>
      <c r="CV40" s="20">
        <f t="shared" si="34"/>
        <v>0.39484815638014015</v>
      </c>
      <c r="CW40" s="20">
        <f t="shared" si="34"/>
        <v>0.39484815638014015</v>
      </c>
      <c r="CX40" s="20">
        <f t="shared" si="34"/>
        <v>0.39484815638014015</v>
      </c>
      <c r="CY40" s="24">
        <f t="shared" si="34"/>
        <v>0.39484815638014015</v>
      </c>
      <c r="DB40" s="37"/>
      <c r="DC40" s="16">
        <f t="shared" si="39"/>
        <v>300</v>
      </c>
      <c r="DD40" s="20">
        <f t="shared" si="40"/>
        <v>102.47766043866774</v>
      </c>
      <c r="DE40" s="20">
        <f t="shared" si="35"/>
        <v>39.629779668642875</v>
      </c>
      <c r="DF40" s="20">
        <f t="shared" si="35"/>
        <v>15.597663584468325</v>
      </c>
      <c r="DG40" s="20">
        <f t="shared" si="35"/>
        <v>6.1556371298352461</v>
      </c>
      <c r="DH40" s="20">
        <f t="shared" si="35"/>
        <v>2.4303529981715934</v>
      </c>
      <c r="DI40" s="20">
        <f t="shared" si="35"/>
        <v>0.95960876871530965</v>
      </c>
      <c r="DJ40" s="20">
        <f t="shared" si="35"/>
        <v>0.37889903713331241</v>
      </c>
      <c r="DK40" s="20">
        <f t="shared" si="35"/>
        <v>0.14960754218780284</v>
      </c>
      <c r="DL40" s="20">
        <f t="shared" si="35"/>
        <v>5.9072259499998357E-2</v>
      </c>
      <c r="DM40" s="20">
        <f t="shared" si="35"/>
        <v>2.3324572589748647E-2</v>
      </c>
      <c r="DN40" s="20">
        <f t="shared" si="35"/>
        <v>9.2096644751345318E-3</v>
      </c>
      <c r="DO40" s="20">
        <f t="shared" si="35"/>
        <v>3.6364190382535641E-3</v>
      </c>
      <c r="DP40" s="20">
        <f t="shared" si="35"/>
        <v>1.4358333530410969E-3</v>
      </c>
      <c r="DQ40" s="20">
        <f t="shared" si="35"/>
        <v>5.6693615231499328E-4</v>
      </c>
      <c r="DR40" s="20">
        <f t="shared" si="35"/>
        <v>2.2385369452667772E-4</v>
      </c>
      <c r="DS40" s="20">
        <f t="shared" si="35"/>
        <v>8.8388218582732665E-5</v>
      </c>
      <c r="DT40" s="20">
        <f t="shared" si="35"/>
        <v>3.4899925153116278E-5</v>
      </c>
      <c r="DU40" s="20">
        <f t="shared" si="35"/>
        <v>1.3780171104512806E-5</v>
      </c>
      <c r="DV40" s="20">
        <f t="shared" si="35"/>
        <v>5.4410751552197585E-6</v>
      </c>
      <c r="DW40" s="20">
        <f t="shared" si="35"/>
        <v>2.1483984937643062E-6</v>
      </c>
      <c r="DX40" s="20">
        <f t="shared" si="35"/>
        <v>8.4829118443270635E-7</v>
      </c>
      <c r="DY40" s="20">
        <f t="shared" si="35"/>
        <v>3.3494621024677948E-7</v>
      </c>
      <c r="DZ40" s="20">
        <f t="shared" si="35"/>
        <v>1.3225289360245567E-7</v>
      </c>
      <c r="EA40" s="20">
        <f t="shared" si="35"/>
        <v>5.2219811214868452E-8</v>
      </c>
      <c r="EB40" s="20">
        <f t="shared" si="35"/>
        <v>2.0618896184709772E-8</v>
      </c>
      <c r="EC40" s="20">
        <f t="shared" si="35"/>
        <v>8.1413331451261602E-9</v>
      </c>
      <c r="ED40" s="20">
        <f t="shared" si="35"/>
        <v>3.2145903828295923E-9</v>
      </c>
      <c r="EE40" s="20">
        <f t="shared" si="35"/>
        <v>1.2692750861775935E-9</v>
      </c>
      <c r="EF40" s="24">
        <f t="shared" si="35"/>
        <v>36.620875384152697</v>
      </c>
    </row>
    <row r="41" spans="6:136" ht="15" customHeight="1" x14ac:dyDescent="0.25">
      <c r="F41" s="34"/>
      <c r="G41" s="16">
        <f t="shared" si="36"/>
        <v>300</v>
      </c>
      <c r="H41" s="17">
        <f t="shared" si="3"/>
        <v>118.45444691446514</v>
      </c>
      <c r="I41" s="17">
        <f t="shared" si="3"/>
        <v>46.771519980277262</v>
      </c>
      <c r="J41" s="17">
        <f t="shared" si="3"/>
        <v>18.467648438023144</v>
      </c>
      <c r="K41" s="17">
        <f t="shared" si="3"/>
        <v>7.2919169453029777</v>
      </c>
      <c r="L41" s="17">
        <f t="shared" si="3"/>
        <v>2.8791999797365877</v>
      </c>
      <c r="M41" s="17">
        <f t="shared" si="3"/>
        <v>1.1368468479330263</v>
      </c>
      <c r="N41" s="17">
        <f t="shared" si="3"/>
        <v>0.4488819936416657</v>
      </c>
      <c r="O41" s="17">
        <f t="shared" si="3"/>
        <v>0.17724051038538166</v>
      </c>
      <c r="P41" s="17">
        <f t="shared" si="3"/>
        <v>6.998380489437428E-2</v>
      </c>
      <c r="Q41" s="17">
        <f t="shared" si="3"/>
        <v>2.7634790030729509E-2</v>
      </c>
      <c r="R41" s="17">
        <f t="shared" si="3"/>
        <v>1.0916139285953969E-2</v>
      </c>
      <c r="S41" s="17">
        <f t="shared" si="3"/>
        <v>4.3218507802320468E-3</v>
      </c>
      <c r="T41" s="17">
        <f t="shared" si="3"/>
        <v>1.7359375522520962E-3</v>
      </c>
      <c r="U41" s="17">
        <f t="shared" si="3"/>
        <v>7.600496402729004E-4</v>
      </c>
      <c r="V41" s="17">
        <f t="shared" si="3"/>
        <v>4.8908291665620478E-4</v>
      </c>
      <c r="W41" s="17">
        <f t="shared" si="3"/>
        <v>6.7172460563384923E-4</v>
      </c>
      <c r="X41" s="17">
        <f t="shared" si="3"/>
        <v>1.4773689015013898E-3</v>
      </c>
      <c r="Y41" s="17">
        <f t="shared" si="3"/>
        <v>3.6532245447780669E-3</v>
      </c>
      <c r="Z41" s="17">
        <f t="shared" si="3"/>
        <v>9.2173264959345223E-3</v>
      </c>
      <c r="AA41" s="17">
        <f t="shared" si="3"/>
        <v>2.3330197373165804E-2</v>
      </c>
      <c r="AB41" s="17">
        <f t="shared" si="3"/>
        <v>5.9081063435972983E-2</v>
      </c>
      <c r="AC41" s="17">
        <f t="shared" si="3"/>
        <v>0.14962768393404643</v>
      </c>
      <c r="AD41" s="17">
        <f t="shared" si="3"/>
        <v>0.37894908858022486</v>
      </c>
      <c r="AE41" s="17">
        <f t="shared" si="3"/>
        <v>0.95973338156478072</v>
      </c>
      <c r="AF41" s="17">
        <f t="shared" si="3"/>
        <v>2.4306390034679204</v>
      </c>
      <c r="AG41" s="17">
        <f t="shared" si="3"/>
        <v>6.1558828212152665</v>
      </c>
      <c r="AH41" s="17">
        <f t="shared" si="3"/>
        <v>15.590506663395324</v>
      </c>
      <c r="AI41" s="17">
        <f t="shared" si="41"/>
        <v>39.484815639283291</v>
      </c>
      <c r="AJ41" s="16">
        <f t="shared" si="37"/>
        <v>100</v>
      </c>
      <c r="AN41" s="39"/>
      <c r="AO41" s="18">
        <f t="shared" si="4"/>
        <v>-1076400000</v>
      </c>
      <c r="AP41" s="19">
        <f t="shared" si="5"/>
        <v>0</v>
      </c>
      <c r="AQ41" s="19">
        <f t="shared" si="6"/>
        <v>0</v>
      </c>
      <c r="AR41" s="19">
        <f t="shared" si="7"/>
        <v>0</v>
      </c>
      <c r="AS41" s="19">
        <f t="shared" si="8"/>
        <v>0</v>
      </c>
      <c r="AT41" s="19">
        <f t="shared" si="9"/>
        <v>0</v>
      </c>
      <c r="AU41" s="19">
        <f t="shared" si="10"/>
        <v>0</v>
      </c>
      <c r="AV41" s="19">
        <f t="shared" si="11"/>
        <v>0</v>
      </c>
      <c r="AW41" s="19">
        <f t="shared" si="12"/>
        <v>0</v>
      </c>
      <c r="AX41" s="19">
        <f t="shared" si="13"/>
        <v>0</v>
      </c>
      <c r="AY41" s="19">
        <f t="shared" si="14"/>
        <v>0</v>
      </c>
      <c r="AZ41" s="19">
        <f t="shared" si="15"/>
        <v>0</v>
      </c>
      <c r="BA41" s="19">
        <f t="shared" si="16"/>
        <v>0</v>
      </c>
      <c r="BB41" s="19">
        <f t="shared" si="17"/>
        <v>0</v>
      </c>
      <c r="BC41" s="19">
        <f t="shared" si="18"/>
        <v>0</v>
      </c>
      <c r="BD41" s="19">
        <f t="shared" si="19"/>
        <v>0</v>
      </c>
      <c r="BE41" s="19">
        <f t="shared" si="20"/>
        <v>0</v>
      </c>
      <c r="BF41" s="19">
        <f t="shared" si="21"/>
        <v>0</v>
      </c>
      <c r="BG41" s="19">
        <f t="shared" si="22"/>
        <v>0</v>
      </c>
      <c r="BH41" s="19">
        <f t="shared" si="23"/>
        <v>0</v>
      </c>
      <c r="BI41" s="19">
        <f t="shared" si="24"/>
        <v>0</v>
      </c>
      <c r="BJ41" s="19">
        <f t="shared" si="25"/>
        <v>0</v>
      </c>
      <c r="BK41" s="19">
        <f t="shared" si="26"/>
        <v>0</v>
      </c>
      <c r="BL41" s="19">
        <f t="shared" si="27"/>
        <v>0</v>
      </c>
      <c r="BM41" s="19">
        <f t="shared" si="28"/>
        <v>0</v>
      </c>
      <c r="BN41" s="19">
        <f t="shared" si="29"/>
        <v>0</v>
      </c>
      <c r="BO41" s="19">
        <f t="shared" si="30"/>
        <v>0</v>
      </c>
      <c r="BP41" s="19">
        <f t="shared" si="31"/>
        <v>0</v>
      </c>
      <c r="BQ41" s="19">
        <f t="shared" si="32"/>
        <v>0</v>
      </c>
      <c r="BR41" s="18">
        <f t="shared" si="33"/>
        <v>-358800000</v>
      </c>
      <c r="BU41" s="37"/>
      <c r="BV41" s="24">
        <v>0</v>
      </c>
      <c r="BW41" s="20">
        <f t="shared" si="38"/>
        <v>0.3415922014622258</v>
      </c>
      <c r="BX41" s="20">
        <f t="shared" si="34"/>
        <v>0.3867162803971414</v>
      </c>
      <c r="BY41" s="20">
        <f t="shared" si="34"/>
        <v>0.39358441341045353</v>
      </c>
      <c r="BZ41" s="20">
        <f t="shared" si="34"/>
        <v>0.39465123071155611</v>
      </c>
      <c r="CA41" s="20">
        <f t="shared" si="34"/>
        <v>0.39481745705771337</v>
      </c>
      <c r="CB41" s="20">
        <f t="shared" si="34"/>
        <v>0.39484337025824801</v>
      </c>
      <c r="CC41" s="20">
        <f t="shared" si="34"/>
        <v>0.39484741020089792</v>
      </c>
      <c r="CD41" s="20">
        <f t="shared" si="34"/>
        <v>0.39484804004704999</v>
      </c>
      <c r="CE41" s="20">
        <f t="shared" si="34"/>
        <v>0.39484813824322279</v>
      </c>
      <c r="CF41" s="20">
        <f t="shared" si="34"/>
        <v>0.39484815355250286</v>
      </c>
      <c r="CG41" s="20">
        <f t="shared" si="34"/>
        <v>0.39484815593929717</v>
      </c>
      <c r="CH41" s="20">
        <f t="shared" si="34"/>
        <v>0.39484815631141046</v>
      </c>
      <c r="CI41" s="20">
        <f t="shared" si="34"/>
        <v>0.39484815636942483</v>
      </c>
      <c r="CJ41" s="20">
        <f t="shared" si="34"/>
        <v>0.39484815637846954</v>
      </c>
      <c r="CK41" s="20">
        <f t="shared" si="34"/>
        <v>0.39484815637987963</v>
      </c>
      <c r="CL41" s="20">
        <f t="shared" si="34"/>
        <v>0.39484815638009951</v>
      </c>
      <c r="CM41" s="20">
        <f t="shared" si="34"/>
        <v>0.39484815638013382</v>
      </c>
      <c r="CN41" s="20">
        <f t="shared" si="34"/>
        <v>0.39484815638013915</v>
      </c>
      <c r="CO41" s="20">
        <f t="shared" si="34"/>
        <v>0.39484815638013998</v>
      </c>
      <c r="CP41" s="20">
        <f t="shared" si="34"/>
        <v>0.39484815638014015</v>
      </c>
      <c r="CQ41" s="20">
        <f t="shared" si="34"/>
        <v>0.39484815638014015</v>
      </c>
      <c r="CR41" s="20">
        <f t="shared" si="34"/>
        <v>0.39484815638014015</v>
      </c>
      <c r="CS41" s="20">
        <f t="shared" si="34"/>
        <v>0.39484815638014015</v>
      </c>
      <c r="CT41" s="20">
        <f t="shared" si="34"/>
        <v>0.39484815638014015</v>
      </c>
      <c r="CU41" s="20">
        <f t="shared" si="34"/>
        <v>0.39484815638014015</v>
      </c>
      <c r="CV41" s="20">
        <f t="shared" si="34"/>
        <v>0.39484815638014015</v>
      </c>
      <c r="CW41" s="20">
        <f t="shared" si="34"/>
        <v>0.39484815638014015</v>
      </c>
      <c r="CX41" s="20">
        <f t="shared" si="34"/>
        <v>0.39484815638014015</v>
      </c>
      <c r="CY41" s="24">
        <f t="shared" si="34"/>
        <v>0.39484815638014015</v>
      </c>
      <c r="DB41" s="37"/>
      <c r="DC41" s="16">
        <f t="shared" si="39"/>
        <v>300</v>
      </c>
      <c r="DD41" s="20">
        <f t="shared" si="40"/>
        <v>102.47766043866774</v>
      </c>
      <c r="DE41" s="20">
        <f t="shared" si="35"/>
        <v>39.629779668642875</v>
      </c>
      <c r="DF41" s="20">
        <f t="shared" si="35"/>
        <v>15.597663584468325</v>
      </c>
      <c r="DG41" s="20">
        <f t="shared" si="35"/>
        <v>6.1556371298352461</v>
      </c>
      <c r="DH41" s="20">
        <f t="shared" si="35"/>
        <v>2.4303529981715934</v>
      </c>
      <c r="DI41" s="20">
        <f t="shared" si="35"/>
        <v>0.95960876871530965</v>
      </c>
      <c r="DJ41" s="20">
        <f t="shared" si="35"/>
        <v>0.37889903713331241</v>
      </c>
      <c r="DK41" s="20">
        <f t="shared" si="35"/>
        <v>0.14960754218780284</v>
      </c>
      <c r="DL41" s="20">
        <f t="shared" si="35"/>
        <v>5.9072259499998357E-2</v>
      </c>
      <c r="DM41" s="20">
        <f t="shared" si="35"/>
        <v>2.3324572589748647E-2</v>
      </c>
      <c r="DN41" s="20">
        <f t="shared" si="35"/>
        <v>9.2096644751345318E-3</v>
      </c>
      <c r="DO41" s="20">
        <f t="shared" si="35"/>
        <v>3.6364190382535641E-3</v>
      </c>
      <c r="DP41" s="20">
        <f t="shared" si="35"/>
        <v>1.4358333530410969E-3</v>
      </c>
      <c r="DQ41" s="20">
        <f t="shared" si="35"/>
        <v>5.6693615231499328E-4</v>
      </c>
      <c r="DR41" s="20">
        <f t="shared" si="35"/>
        <v>2.2385369452667772E-4</v>
      </c>
      <c r="DS41" s="20">
        <f t="shared" si="35"/>
        <v>8.8388218582732665E-5</v>
      </c>
      <c r="DT41" s="20">
        <f t="shared" si="35"/>
        <v>3.4899925153116278E-5</v>
      </c>
      <c r="DU41" s="20">
        <f t="shared" si="35"/>
        <v>1.3780171104512806E-5</v>
      </c>
      <c r="DV41" s="20">
        <f t="shared" si="35"/>
        <v>5.4410751552197585E-6</v>
      </c>
      <c r="DW41" s="20">
        <f t="shared" si="35"/>
        <v>2.1483984937643062E-6</v>
      </c>
      <c r="DX41" s="20">
        <f t="shared" si="35"/>
        <v>8.4829118443270635E-7</v>
      </c>
      <c r="DY41" s="20">
        <f t="shared" si="35"/>
        <v>3.3494621024677948E-7</v>
      </c>
      <c r="DZ41" s="20">
        <f t="shared" si="35"/>
        <v>1.3225289360245567E-7</v>
      </c>
      <c r="EA41" s="20">
        <f t="shared" si="35"/>
        <v>5.2219811214868452E-8</v>
      </c>
      <c r="EB41" s="20">
        <f t="shared" si="35"/>
        <v>2.0618896184709772E-8</v>
      </c>
      <c r="EC41" s="20">
        <f t="shared" si="35"/>
        <v>8.1413331451261602E-9</v>
      </c>
      <c r="ED41" s="20">
        <f t="shared" si="35"/>
        <v>3.2145903828295923E-9</v>
      </c>
      <c r="EE41" s="20">
        <f t="shared" si="35"/>
        <v>1.2692750861775935E-9</v>
      </c>
      <c r="EF41" s="24">
        <f t="shared" si="35"/>
        <v>36.620875384152697</v>
      </c>
    </row>
    <row r="42" spans="6:136" ht="15" customHeight="1" x14ac:dyDescent="0.25">
      <c r="F42" s="34"/>
      <c r="G42" s="16">
        <f t="shared" si="36"/>
        <v>300</v>
      </c>
      <c r="H42" s="17">
        <f t="shared" si="3"/>
        <v>118.45444691446514</v>
      </c>
      <c r="I42" s="17">
        <f t="shared" si="3"/>
        <v>46.771519980277262</v>
      </c>
      <c r="J42" s="17">
        <f t="shared" si="3"/>
        <v>18.467648438023144</v>
      </c>
      <c r="K42" s="17">
        <f t="shared" si="3"/>
        <v>7.2919169453029777</v>
      </c>
      <c r="L42" s="17">
        <f t="shared" si="3"/>
        <v>2.8791999797365877</v>
      </c>
      <c r="M42" s="17">
        <f t="shared" si="3"/>
        <v>1.1368468479330263</v>
      </c>
      <c r="N42" s="17">
        <f t="shared" si="3"/>
        <v>0.4488819936416657</v>
      </c>
      <c r="O42" s="17">
        <f t="shared" si="3"/>
        <v>0.17724051038538166</v>
      </c>
      <c r="P42" s="17">
        <f t="shared" si="3"/>
        <v>6.998380489437428E-2</v>
      </c>
      <c r="Q42" s="17">
        <f t="shared" si="3"/>
        <v>2.7634790030729509E-2</v>
      </c>
      <c r="R42" s="17">
        <f t="shared" si="3"/>
        <v>1.0916139285953969E-2</v>
      </c>
      <c r="S42" s="17">
        <f t="shared" si="3"/>
        <v>4.3218507802320468E-3</v>
      </c>
      <c r="T42" s="17">
        <f t="shared" si="3"/>
        <v>1.7359375522520962E-3</v>
      </c>
      <c r="U42" s="17">
        <f t="shared" si="3"/>
        <v>7.600496402729004E-4</v>
      </c>
      <c r="V42" s="17">
        <f t="shared" si="3"/>
        <v>4.8908291665620478E-4</v>
      </c>
      <c r="W42" s="17">
        <f t="shared" si="3"/>
        <v>6.7172460563384923E-4</v>
      </c>
      <c r="X42" s="17">
        <f t="shared" si="3"/>
        <v>1.4773689015013898E-3</v>
      </c>
      <c r="Y42" s="17">
        <f t="shared" si="3"/>
        <v>3.6532245447780669E-3</v>
      </c>
      <c r="Z42" s="17">
        <f t="shared" si="3"/>
        <v>9.2173264959345223E-3</v>
      </c>
      <c r="AA42" s="17">
        <f t="shared" si="3"/>
        <v>2.3330197373165804E-2</v>
      </c>
      <c r="AB42" s="17">
        <f t="shared" si="3"/>
        <v>5.9081063435972983E-2</v>
      </c>
      <c r="AC42" s="17">
        <f t="shared" si="3"/>
        <v>0.14962768393404643</v>
      </c>
      <c r="AD42" s="17">
        <f t="shared" si="3"/>
        <v>0.37894908858022486</v>
      </c>
      <c r="AE42" s="17">
        <f t="shared" si="3"/>
        <v>0.95973338156478072</v>
      </c>
      <c r="AF42" s="17">
        <f t="shared" si="3"/>
        <v>2.4306390034679204</v>
      </c>
      <c r="AG42" s="17">
        <f t="shared" si="3"/>
        <v>6.1558828212152665</v>
      </c>
      <c r="AH42" s="17">
        <f t="shared" si="3"/>
        <v>15.590506663395324</v>
      </c>
      <c r="AI42" s="17">
        <f t="shared" si="41"/>
        <v>39.484815639283291</v>
      </c>
      <c r="AJ42" s="16">
        <f t="shared" si="37"/>
        <v>100</v>
      </c>
      <c r="AN42" s="39"/>
      <c r="AO42" s="18">
        <f t="shared" si="4"/>
        <v>-1076400000</v>
      </c>
      <c r="AP42" s="19">
        <f t="shared" si="5"/>
        <v>0</v>
      </c>
      <c r="AQ42" s="19">
        <f t="shared" si="6"/>
        <v>0</v>
      </c>
      <c r="AR42" s="19">
        <f t="shared" si="7"/>
        <v>0</v>
      </c>
      <c r="AS42" s="19">
        <f t="shared" si="8"/>
        <v>0</v>
      </c>
      <c r="AT42" s="19">
        <f t="shared" si="9"/>
        <v>0</v>
      </c>
      <c r="AU42" s="19">
        <f t="shared" si="10"/>
        <v>0</v>
      </c>
      <c r="AV42" s="19">
        <f t="shared" si="11"/>
        <v>0</v>
      </c>
      <c r="AW42" s="19">
        <f t="shared" si="12"/>
        <v>0</v>
      </c>
      <c r="AX42" s="19">
        <f t="shared" si="13"/>
        <v>0</v>
      </c>
      <c r="AY42" s="19">
        <f t="shared" si="14"/>
        <v>0</v>
      </c>
      <c r="AZ42" s="19">
        <f t="shared" si="15"/>
        <v>0</v>
      </c>
      <c r="BA42" s="19">
        <f t="shared" si="16"/>
        <v>0</v>
      </c>
      <c r="BB42" s="19">
        <f t="shared" si="17"/>
        <v>0</v>
      </c>
      <c r="BC42" s="19">
        <f t="shared" si="18"/>
        <v>0</v>
      </c>
      <c r="BD42" s="19">
        <f t="shared" si="19"/>
        <v>0</v>
      </c>
      <c r="BE42" s="19">
        <f t="shared" si="20"/>
        <v>0</v>
      </c>
      <c r="BF42" s="19">
        <f t="shared" si="21"/>
        <v>0</v>
      </c>
      <c r="BG42" s="19">
        <f t="shared" si="22"/>
        <v>0</v>
      </c>
      <c r="BH42" s="19">
        <f t="shared" si="23"/>
        <v>0</v>
      </c>
      <c r="BI42" s="19">
        <f t="shared" si="24"/>
        <v>0</v>
      </c>
      <c r="BJ42" s="19">
        <f t="shared" si="25"/>
        <v>0</v>
      </c>
      <c r="BK42" s="19">
        <f t="shared" si="26"/>
        <v>0</v>
      </c>
      <c r="BL42" s="19">
        <f t="shared" si="27"/>
        <v>0</v>
      </c>
      <c r="BM42" s="19">
        <f t="shared" si="28"/>
        <v>0</v>
      </c>
      <c r="BN42" s="19">
        <f t="shared" si="29"/>
        <v>0</v>
      </c>
      <c r="BO42" s="19">
        <f t="shared" si="30"/>
        <v>0</v>
      </c>
      <c r="BP42" s="19">
        <f t="shared" si="31"/>
        <v>0</v>
      </c>
      <c r="BQ42" s="19">
        <f t="shared" si="32"/>
        <v>0</v>
      </c>
      <c r="BR42" s="18">
        <f t="shared" si="33"/>
        <v>-358800000</v>
      </c>
      <c r="BU42" s="37"/>
      <c r="BV42" s="24">
        <v>0</v>
      </c>
      <c r="BW42" s="20">
        <f t="shared" si="38"/>
        <v>0.3415922014622258</v>
      </c>
      <c r="BX42" s="20">
        <f t="shared" si="34"/>
        <v>0.3867162803971414</v>
      </c>
      <c r="BY42" s="20">
        <f t="shared" si="34"/>
        <v>0.39358441341045353</v>
      </c>
      <c r="BZ42" s="20">
        <f t="shared" si="34"/>
        <v>0.39465123071155611</v>
      </c>
      <c r="CA42" s="20">
        <f t="shared" si="34"/>
        <v>0.39481745705771337</v>
      </c>
      <c r="CB42" s="20">
        <f t="shared" si="34"/>
        <v>0.39484337025824801</v>
      </c>
      <c r="CC42" s="20">
        <f t="shared" si="34"/>
        <v>0.39484741020089792</v>
      </c>
      <c r="CD42" s="20">
        <f t="shared" si="34"/>
        <v>0.39484804004704999</v>
      </c>
      <c r="CE42" s="20">
        <f t="shared" si="34"/>
        <v>0.39484813824322279</v>
      </c>
      <c r="CF42" s="20">
        <f t="shared" si="34"/>
        <v>0.39484815355250286</v>
      </c>
      <c r="CG42" s="20">
        <f t="shared" si="34"/>
        <v>0.39484815593929717</v>
      </c>
      <c r="CH42" s="20">
        <f t="shared" si="34"/>
        <v>0.39484815631141046</v>
      </c>
      <c r="CI42" s="20">
        <f t="shared" si="34"/>
        <v>0.39484815636942483</v>
      </c>
      <c r="CJ42" s="20">
        <f t="shared" si="34"/>
        <v>0.39484815637846954</v>
      </c>
      <c r="CK42" s="20">
        <f t="shared" si="34"/>
        <v>0.39484815637987963</v>
      </c>
      <c r="CL42" s="20">
        <f t="shared" si="34"/>
        <v>0.39484815638009951</v>
      </c>
      <c r="CM42" s="20">
        <f t="shared" si="34"/>
        <v>0.39484815638013382</v>
      </c>
      <c r="CN42" s="20">
        <f t="shared" si="34"/>
        <v>0.39484815638013915</v>
      </c>
      <c r="CO42" s="20">
        <f t="shared" si="34"/>
        <v>0.39484815638013998</v>
      </c>
      <c r="CP42" s="20">
        <f t="shared" si="34"/>
        <v>0.39484815638014015</v>
      </c>
      <c r="CQ42" s="20">
        <f t="shared" si="34"/>
        <v>0.39484815638014015</v>
      </c>
      <c r="CR42" s="20">
        <f t="shared" si="34"/>
        <v>0.39484815638014015</v>
      </c>
      <c r="CS42" s="20">
        <f t="shared" si="34"/>
        <v>0.39484815638014015</v>
      </c>
      <c r="CT42" s="20">
        <f t="shared" si="34"/>
        <v>0.39484815638014015</v>
      </c>
      <c r="CU42" s="20">
        <f t="shared" si="34"/>
        <v>0.39484815638014015</v>
      </c>
      <c r="CV42" s="20">
        <f t="shared" si="34"/>
        <v>0.39484815638014015</v>
      </c>
      <c r="CW42" s="20">
        <f t="shared" si="34"/>
        <v>0.39484815638014015</v>
      </c>
      <c r="CX42" s="20">
        <f t="shared" si="34"/>
        <v>0.39484815638014015</v>
      </c>
      <c r="CY42" s="24">
        <f t="shared" si="34"/>
        <v>0.39484815638014015</v>
      </c>
      <c r="DB42" s="37"/>
      <c r="DC42" s="16">
        <f t="shared" si="39"/>
        <v>300</v>
      </c>
      <c r="DD42" s="20">
        <f t="shared" si="40"/>
        <v>102.47766043866774</v>
      </c>
      <c r="DE42" s="20">
        <f t="shared" si="35"/>
        <v>39.629779668642875</v>
      </c>
      <c r="DF42" s="20">
        <f t="shared" si="35"/>
        <v>15.597663584468325</v>
      </c>
      <c r="DG42" s="20">
        <f t="shared" si="35"/>
        <v>6.1556371298352461</v>
      </c>
      <c r="DH42" s="20">
        <f t="shared" si="35"/>
        <v>2.4303529981715934</v>
      </c>
      <c r="DI42" s="20">
        <f t="shared" si="35"/>
        <v>0.95960876871530965</v>
      </c>
      <c r="DJ42" s="20">
        <f t="shared" si="35"/>
        <v>0.37889903713331241</v>
      </c>
      <c r="DK42" s="20">
        <f t="shared" si="35"/>
        <v>0.14960754218780284</v>
      </c>
      <c r="DL42" s="20">
        <f t="shared" si="35"/>
        <v>5.9072259499998357E-2</v>
      </c>
      <c r="DM42" s="20">
        <f t="shared" si="35"/>
        <v>2.3324572589748647E-2</v>
      </c>
      <c r="DN42" s="20">
        <f t="shared" si="35"/>
        <v>9.2096644751345318E-3</v>
      </c>
      <c r="DO42" s="20">
        <f t="shared" si="35"/>
        <v>3.6364190382535641E-3</v>
      </c>
      <c r="DP42" s="20">
        <f t="shared" si="35"/>
        <v>1.4358333530410969E-3</v>
      </c>
      <c r="DQ42" s="20">
        <f t="shared" si="35"/>
        <v>5.6693615231499328E-4</v>
      </c>
      <c r="DR42" s="20">
        <f t="shared" si="35"/>
        <v>2.2385369452667772E-4</v>
      </c>
      <c r="DS42" s="20">
        <f t="shared" si="35"/>
        <v>8.8388218582732665E-5</v>
      </c>
      <c r="DT42" s="20">
        <f t="shared" si="35"/>
        <v>3.4899925153116278E-5</v>
      </c>
      <c r="DU42" s="20">
        <f t="shared" si="35"/>
        <v>1.3780171104512806E-5</v>
      </c>
      <c r="DV42" s="20">
        <f t="shared" si="35"/>
        <v>5.4410751552197585E-6</v>
      </c>
      <c r="DW42" s="20">
        <f t="shared" si="35"/>
        <v>2.1483984937643062E-6</v>
      </c>
      <c r="DX42" s="20">
        <f t="shared" si="35"/>
        <v>8.4829118443270635E-7</v>
      </c>
      <c r="DY42" s="20">
        <f t="shared" si="35"/>
        <v>3.3494621024677948E-7</v>
      </c>
      <c r="DZ42" s="20">
        <f t="shared" si="35"/>
        <v>1.3225289360245567E-7</v>
      </c>
      <c r="EA42" s="20">
        <f t="shared" si="35"/>
        <v>5.2219811214868452E-8</v>
      </c>
      <c r="EB42" s="20">
        <f t="shared" si="35"/>
        <v>2.0618896184709772E-8</v>
      </c>
      <c r="EC42" s="20">
        <f t="shared" si="35"/>
        <v>8.1413331451261602E-9</v>
      </c>
      <c r="ED42" s="20">
        <f t="shared" si="35"/>
        <v>3.2145903828295923E-9</v>
      </c>
      <c r="EE42" s="20">
        <f t="shared" si="35"/>
        <v>1.2692750861775935E-9</v>
      </c>
      <c r="EF42" s="24">
        <f t="shared" si="35"/>
        <v>36.620875384152697</v>
      </c>
    </row>
    <row r="43" spans="6:136" ht="15" customHeight="1" x14ac:dyDescent="0.25">
      <c r="F43" s="34"/>
      <c r="G43" s="16">
        <f t="shared" si="36"/>
        <v>300</v>
      </c>
      <c r="H43" s="17">
        <f t="shared" si="3"/>
        <v>118.45444691446514</v>
      </c>
      <c r="I43" s="17">
        <f t="shared" si="3"/>
        <v>46.771519980277262</v>
      </c>
      <c r="J43" s="17">
        <f t="shared" si="3"/>
        <v>18.467648438023144</v>
      </c>
      <c r="K43" s="17">
        <f t="shared" si="3"/>
        <v>7.2919169453029777</v>
      </c>
      <c r="L43" s="17">
        <f t="shared" si="3"/>
        <v>2.8791999797365877</v>
      </c>
      <c r="M43" s="17">
        <f t="shared" si="3"/>
        <v>1.1368468479330263</v>
      </c>
      <c r="N43" s="17">
        <f t="shared" si="3"/>
        <v>0.4488819936416657</v>
      </c>
      <c r="O43" s="17">
        <f t="shared" si="3"/>
        <v>0.17724051038538166</v>
      </c>
      <c r="P43" s="17">
        <f t="shared" si="3"/>
        <v>6.998380489437428E-2</v>
      </c>
      <c r="Q43" s="17">
        <f t="shared" si="3"/>
        <v>2.7634790030729509E-2</v>
      </c>
      <c r="R43" s="17">
        <f t="shared" si="3"/>
        <v>1.0916139285953969E-2</v>
      </c>
      <c r="S43" s="17">
        <f t="shared" si="3"/>
        <v>4.3218507802320468E-3</v>
      </c>
      <c r="T43" s="17">
        <f t="shared" si="3"/>
        <v>1.7359375522520962E-3</v>
      </c>
      <c r="U43" s="17">
        <f t="shared" si="3"/>
        <v>7.600496402729004E-4</v>
      </c>
      <c r="V43" s="17">
        <f t="shared" si="3"/>
        <v>4.8908291665620478E-4</v>
      </c>
      <c r="W43" s="17">
        <f t="shared" si="3"/>
        <v>6.7172460563384923E-4</v>
      </c>
      <c r="X43" s="17">
        <f t="shared" si="3"/>
        <v>1.4773689015013898E-3</v>
      </c>
      <c r="Y43" s="17">
        <f t="shared" si="3"/>
        <v>3.6532245447780669E-3</v>
      </c>
      <c r="Z43" s="17">
        <f t="shared" si="3"/>
        <v>9.2173264959345223E-3</v>
      </c>
      <c r="AA43" s="17">
        <f t="shared" si="3"/>
        <v>2.3330197373165804E-2</v>
      </c>
      <c r="AB43" s="17">
        <f t="shared" si="3"/>
        <v>5.9081063435972983E-2</v>
      </c>
      <c r="AC43" s="17">
        <f t="shared" si="3"/>
        <v>0.14962768393404643</v>
      </c>
      <c r="AD43" s="17">
        <f t="shared" si="3"/>
        <v>0.37894908858022486</v>
      </c>
      <c r="AE43" s="17">
        <f t="shared" si="3"/>
        <v>0.95973338156478072</v>
      </c>
      <c r="AF43" s="17">
        <f t="shared" si="3"/>
        <v>2.4306390034679204</v>
      </c>
      <c r="AG43" s="17">
        <f t="shared" si="3"/>
        <v>6.1558828212152665</v>
      </c>
      <c r="AH43" s="17">
        <f t="shared" si="3"/>
        <v>15.590506663395324</v>
      </c>
      <c r="AI43" s="17">
        <f t="shared" si="41"/>
        <v>39.484815639283291</v>
      </c>
      <c r="AJ43" s="16">
        <f t="shared" si="37"/>
        <v>100</v>
      </c>
      <c r="AN43" s="39"/>
      <c r="AO43" s="18">
        <f t="shared" si="4"/>
        <v>-1076400000</v>
      </c>
      <c r="AP43" s="19">
        <f t="shared" si="5"/>
        <v>0</v>
      </c>
      <c r="AQ43" s="19">
        <f t="shared" si="6"/>
        <v>0</v>
      </c>
      <c r="AR43" s="19">
        <f t="shared" si="7"/>
        <v>0</v>
      </c>
      <c r="AS43" s="19">
        <f t="shared" si="8"/>
        <v>0</v>
      </c>
      <c r="AT43" s="19">
        <f t="shared" si="9"/>
        <v>0</v>
      </c>
      <c r="AU43" s="19">
        <f t="shared" si="10"/>
        <v>0</v>
      </c>
      <c r="AV43" s="19">
        <f t="shared" si="11"/>
        <v>0</v>
      </c>
      <c r="AW43" s="19">
        <f t="shared" si="12"/>
        <v>0</v>
      </c>
      <c r="AX43" s="19">
        <f t="shared" si="13"/>
        <v>0</v>
      </c>
      <c r="AY43" s="19">
        <f t="shared" si="14"/>
        <v>0</v>
      </c>
      <c r="AZ43" s="19">
        <f t="shared" si="15"/>
        <v>0</v>
      </c>
      <c r="BA43" s="19">
        <f t="shared" si="16"/>
        <v>0</v>
      </c>
      <c r="BB43" s="19">
        <f t="shared" si="17"/>
        <v>0</v>
      </c>
      <c r="BC43" s="19">
        <f t="shared" si="18"/>
        <v>0</v>
      </c>
      <c r="BD43" s="19">
        <f t="shared" si="19"/>
        <v>0</v>
      </c>
      <c r="BE43" s="19">
        <f t="shared" si="20"/>
        <v>0</v>
      </c>
      <c r="BF43" s="19">
        <f t="shared" si="21"/>
        <v>0</v>
      </c>
      <c r="BG43" s="19">
        <f t="shared" si="22"/>
        <v>0</v>
      </c>
      <c r="BH43" s="19">
        <f t="shared" si="23"/>
        <v>0</v>
      </c>
      <c r="BI43" s="19">
        <f t="shared" si="24"/>
        <v>0</v>
      </c>
      <c r="BJ43" s="19">
        <f t="shared" si="25"/>
        <v>0</v>
      </c>
      <c r="BK43" s="19">
        <f t="shared" si="26"/>
        <v>0</v>
      </c>
      <c r="BL43" s="19">
        <f t="shared" si="27"/>
        <v>0</v>
      </c>
      <c r="BM43" s="19">
        <f t="shared" si="28"/>
        <v>0</v>
      </c>
      <c r="BN43" s="19">
        <f t="shared" si="29"/>
        <v>0</v>
      </c>
      <c r="BO43" s="19">
        <f t="shared" si="30"/>
        <v>0</v>
      </c>
      <c r="BP43" s="19">
        <f t="shared" si="31"/>
        <v>0</v>
      </c>
      <c r="BQ43" s="19">
        <f t="shared" si="32"/>
        <v>0</v>
      </c>
      <c r="BR43" s="18">
        <f t="shared" si="33"/>
        <v>-358800000</v>
      </c>
      <c r="BU43" s="37"/>
      <c r="BV43" s="24">
        <v>0</v>
      </c>
      <c r="BW43" s="20">
        <f t="shared" si="38"/>
        <v>0.3415922014622258</v>
      </c>
      <c r="BX43" s="20">
        <f t="shared" si="34"/>
        <v>0.3867162803971414</v>
      </c>
      <c r="BY43" s="20">
        <f t="shared" si="34"/>
        <v>0.39358441341045353</v>
      </c>
      <c r="BZ43" s="20">
        <f t="shared" si="34"/>
        <v>0.39465123071155611</v>
      </c>
      <c r="CA43" s="20">
        <f t="shared" si="34"/>
        <v>0.39481745705771337</v>
      </c>
      <c r="CB43" s="20">
        <f t="shared" si="34"/>
        <v>0.39484337025824801</v>
      </c>
      <c r="CC43" s="20">
        <f t="shared" si="34"/>
        <v>0.39484741020089792</v>
      </c>
      <c r="CD43" s="20">
        <f t="shared" si="34"/>
        <v>0.39484804004704999</v>
      </c>
      <c r="CE43" s="20">
        <f t="shared" si="34"/>
        <v>0.39484813824322279</v>
      </c>
      <c r="CF43" s="20">
        <f t="shared" si="34"/>
        <v>0.39484815355250286</v>
      </c>
      <c r="CG43" s="20">
        <f t="shared" si="34"/>
        <v>0.39484815593929717</v>
      </c>
      <c r="CH43" s="20">
        <f t="shared" si="34"/>
        <v>0.39484815631141046</v>
      </c>
      <c r="CI43" s="20">
        <f t="shared" si="34"/>
        <v>0.39484815636942483</v>
      </c>
      <c r="CJ43" s="20">
        <f t="shared" si="34"/>
        <v>0.39484815637846954</v>
      </c>
      <c r="CK43" s="20">
        <f t="shared" si="34"/>
        <v>0.39484815637987963</v>
      </c>
      <c r="CL43" s="20">
        <f t="shared" si="34"/>
        <v>0.39484815638009951</v>
      </c>
      <c r="CM43" s="20">
        <f t="shared" si="34"/>
        <v>0.39484815638013382</v>
      </c>
      <c r="CN43" s="20">
        <f t="shared" si="34"/>
        <v>0.39484815638013915</v>
      </c>
      <c r="CO43" s="20">
        <f t="shared" si="34"/>
        <v>0.39484815638013998</v>
      </c>
      <c r="CP43" s="20">
        <f t="shared" si="34"/>
        <v>0.39484815638014015</v>
      </c>
      <c r="CQ43" s="20">
        <f t="shared" si="34"/>
        <v>0.39484815638014015</v>
      </c>
      <c r="CR43" s="20">
        <f t="shared" si="34"/>
        <v>0.39484815638014015</v>
      </c>
      <c r="CS43" s="20">
        <f t="shared" si="34"/>
        <v>0.39484815638014015</v>
      </c>
      <c r="CT43" s="20">
        <f t="shared" si="34"/>
        <v>0.39484815638014015</v>
      </c>
      <c r="CU43" s="20">
        <f t="shared" si="34"/>
        <v>0.39484815638014015</v>
      </c>
      <c r="CV43" s="20">
        <f t="shared" si="34"/>
        <v>0.39484815638014015</v>
      </c>
      <c r="CW43" s="20">
        <f t="shared" si="34"/>
        <v>0.39484815638014015</v>
      </c>
      <c r="CX43" s="20">
        <f t="shared" si="34"/>
        <v>0.39484815638014015</v>
      </c>
      <c r="CY43" s="24">
        <f t="shared" si="34"/>
        <v>0.39484815638014015</v>
      </c>
      <c r="DB43" s="37"/>
      <c r="DC43" s="16">
        <f t="shared" si="39"/>
        <v>300</v>
      </c>
      <c r="DD43" s="20">
        <f t="shared" si="40"/>
        <v>102.47766043866774</v>
      </c>
      <c r="DE43" s="20">
        <f t="shared" si="35"/>
        <v>39.629779668642875</v>
      </c>
      <c r="DF43" s="20">
        <f t="shared" si="35"/>
        <v>15.597663584468325</v>
      </c>
      <c r="DG43" s="20">
        <f t="shared" si="35"/>
        <v>6.1556371298352461</v>
      </c>
      <c r="DH43" s="20">
        <f t="shared" si="35"/>
        <v>2.4303529981715934</v>
      </c>
      <c r="DI43" s="20">
        <f t="shared" si="35"/>
        <v>0.95960876871530965</v>
      </c>
      <c r="DJ43" s="20">
        <f t="shared" si="35"/>
        <v>0.37889903713331241</v>
      </c>
      <c r="DK43" s="20">
        <f t="shared" si="35"/>
        <v>0.14960754218780284</v>
      </c>
      <c r="DL43" s="20">
        <f t="shared" si="35"/>
        <v>5.9072259499998357E-2</v>
      </c>
      <c r="DM43" s="20">
        <f t="shared" si="35"/>
        <v>2.3324572589748647E-2</v>
      </c>
      <c r="DN43" s="20">
        <f t="shared" si="35"/>
        <v>9.2096644751345318E-3</v>
      </c>
      <c r="DO43" s="20">
        <f t="shared" si="35"/>
        <v>3.6364190382535641E-3</v>
      </c>
      <c r="DP43" s="20">
        <f t="shared" si="35"/>
        <v>1.4358333530410969E-3</v>
      </c>
      <c r="DQ43" s="20">
        <f t="shared" si="35"/>
        <v>5.6693615231499328E-4</v>
      </c>
      <c r="DR43" s="20">
        <f t="shared" si="35"/>
        <v>2.2385369452667772E-4</v>
      </c>
      <c r="DS43" s="20">
        <f t="shared" si="35"/>
        <v>8.8388218582732665E-5</v>
      </c>
      <c r="DT43" s="20">
        <f t="shared" si="35"/>
        <v>3.4899925153116278E-5</v>
      </c>
      <c r="DU43" s="20">
        <f t="shared" si="35"/>
        <v>1.3780171104512806E-5</v>
      </c>
      <c r="DV43" s="20">
        <f t="shared" si="35"/>
        <v>5.4410751552197585E-6</v>
      </c>
      <c r="DW43" s="20">
        <f t="shared" si="35"/>
        <v>2.1483984937643062E-6</v>
      </c>
      <c r="DX43" s="20">
        <f t="shared" si="35"/>
        <v>8.4829118443270635E-7</v>
      </c>
      <c r="DY43" s="20">
        <f t="shared" si="35"/>
        <v>3.3494621024677948E-7</v>
      </c>
      <c r="DZ43" s="20">
        <f t="shared" si="35"/>
        <v>1.3225289360245567E-7</v>
      </c>
      <c r="EA43" s="20">
        <f t="shared" si="35"/>
        <v>5.2219811214868452E-8</v>
      </c>
      <c r="EB43" s="20">
        <f t="shared" si="35"/>
        <v>2.0618896184709772E-8</v>
      </c>
      <c r="EC43" s="20">
        <f t="shared" si="35"/>
        <v>8.1413331451261602E-9</v>
      </c>
      <c r="ED43" s="20">
        <f t="shared" si="35"/>
        <v>3.2145903828295923E-9</v>
      </c>
      <c r="EE43" s="20">
        <f t="shared" si="35"/>
        <v>1.2692750861775935E-9</v>
      </c>
      <c r="EF43" s="24">
        <f t="shared" si="35"/>
        <v>36.620875384152697</v>
      </c>
    </row>
    <row r="44" spans="6:136" ht="15" customHeight="1" x14ac:dyDescent="0.25">
      <c r="F44" s="34"/>
      <c r="G44" s="16">
        <f t="shared" si="36"/>
        <v>300</v>
      </c>
      <c r="H44" s="17">
        <f t="shared" si="3"/>
        <v>118.45444691446514</v>
      </c>
      <c r="I44" s="17">
        <f t="shared" si="3"/>
        <v>46.771519980277262</v>
      </c>
      <c r="J44" s="17">
        <f t="shared" si="3"/>
        <v>18.467648438023144</v>
      </c>
      <c r="K44" s="17">
        <f t="shared" si="3"/>
        <v>7.2919169453029777</v>
      </c>
      <c r="L44" s="17">
        <f t="shared" si="3"/>
        <v>2.8791999797365877</v>
      </c>
      <c r="M44" s="17">
        <f t="shared" si="3"/>
        <v>1.1368468479330263</v>
      </c>
      <c r="N44" s="17">
        <f t="shared" si="3"/>
        <v>0.4488819936416657</v>
      </c>
      <c r="O44" s="17">
        <f t="shared" si="3"/>
        <v>0.17724051038538166</v>
      </c>
      <c r="P44" s="17">
        <f t="shared" si="3"/>
        <v>6.998380489437428E-2</v>
      </c>
      <c r="Q44" s="17">
        <f t="shared" si="3"/>
        <v>2.7634790030729509E-2</v>
      </c>
      <c r="R44" s="17">
        <f t="shared" si="3"/>
        <v>1.0916139285953969E-2</v>
      </c>
      <c r="S44" s="17">
        <f t="shared" si="3"/>
        <v>4.3218507802320468E-3</v>
      </c>
      <c r="T44" s="17">
        <f t="shared" si="3"/>
        <v>1.7359375522520962E-3</v>
      </c>
      <c r="U44" s="17">
        <f t="shared" si="3"/>
        <v>7.600496402729004E-4</v>
      </c>
      <c r="V44" s="17">
        <f t="shared" si="3"/>
        <v>4.8908291665620478E-4</v>
      </c>
      <c r="W44" s="17">
        <f t="shared" si="3"/>
        <v>6.7172460563384923E-4</v>
      </c>
      <c r="X44" s="17">
        <f t="shared" si="3"/>
        <v>1.4773689015013898E-3</v>
      </c>
      <c r="Y44" s="17">
        <f t="shared" si="3"/>
        <v>3.6532245447780669E-3</v>
      </c>
      <c r="Z44" s="17">
        <f t="shared" si="3"/>
        <v>9.2173264959345223E-3</v>
      </c>
      <c r="AA44" s="17">
        <f t="shared" si="3"/>
        <v>2.3330197373165804E-2</v>
      </c>
      <c r="AB44" s="17">
        <f t="shared" si="3"/>
        <v>5.9081063435972983E-2</v>
      </c>
      <c r="AC44" s="17">
        <f t="shared" si="3"/>
        <v>0.14962768393404643</v>
      </c>
      <c r="AD44" s="17">
        <f t="shared" si="3"/>
        <v>0.37894908858022486</v>
      </c>
      <c r="AE44" s="17">
        <f t="shared" si="3"/>
        <v>0.95973338156478072</v>
      </c>
      <c r="AF44" s="17">
        <f t="shared" si="3"/>
        <v>2.4306390034679204</v>
      </c>
      <c r="AG44" s="17">
        <f t="shared" si="3"/>
        <v>6.1558828212152665</v>
      </c>
      <c r="AH44" s="17">
        <f t="shared" si="3"/>
        <v>15.590506663395324</v>
      </c>
      <c r="AI44" s="17">
        <f t="shared" si="41"/>
        <v>39.484815639283291</v>
      </c>
      <c r="AJ44" s="16">
        <f t="shared" si="37"/>
        <v>100</v>
      </c>
      <c r="AN44" s="39"/>
      <c r="AO44" s="18">
        <f t="shared" si="4"/>
        <v>-1076400000</v>
      </c>
      <c r="AP44" s="19">
        <f t="shared" si="5"/>
        <v>0</v>
      </c>
      <c r="AQ44" s="19">
        <f t="shared" si="6"/>
        <v>0</v>
      </c>
      <c r="AR44" s="19">
        <f t="shared" si="7"/>
        <v>0</v>
      </c>
      <c r="AS44" s="19">
        <f t="shared" si="8"/>
        <v>0</v>
      </c>
      <c r="AT44" s="19">
        <f t="shared" si="9"/>
        <v>0</v>
      </c>
      <c r="AU44" s="19">
        <f t="shared" si="10"/>
        <v>0</v>
      </c>
      <c r="AV44" s="19">
        <f t="shared" si="11"/>
        <v>0</v>
      </c>
      <c r="AW44" s="19">
        <f t="shared" si="12"/>
        <v>0</v>
      </c>
      <c r="AX44" s="19">
        <f t="shared" si="13"/>
        <v>0</v>
      </c>
      <c r="AY44" s="19">
        <f t="shared" si="14"/>
        <v>0</v>
      </c>
      <c r="AZ44" s="19">
        <f t="shared" si="15"/>
        <v>0</v>
      </c>
      <c r="BA44" s="19">
        <f t="shared" si="16"/>
        <v>0</v>
      </c>
      <c r="BB44" s="19">
        <f t="shared" si="17"/>
        <v>0</v>
      </c>
      <c r="BC44" s="19">
        <f t="shared" si="18"/>
        <v>0</v>
      </c>
      <c r="BD44" s="19">
        <f t="shared" si="19"/>
        <v>0</v>
      </c>
      <c r="BE44" s="19">
        <f t="shared" si="20"/>
        <v>0</v>
      </c>
      <c r="BF44" s="19">
        <f t="shared" si="21"/>
        <v>0</v>
      </c>
      <c r="BG44" s="19">
        <f t="shared" si="22"/>
        <v>0</v>
      </c>
      <c r="BH44" s="19">
        <f t="shared" si="23"/>
        <v>0</v>
      </c>
      <c r="BI44" s="19">
        <f t="shared" si="24"/>
        <v>0</v>
      </c>
      <c r="BJ44" s="19">
        <f t="shared" si="25"/>
        <v>0</v>
      </c>
      <c r="BK44" s="19">
        <f t="shared" si="26"/>
        <v>0</v>
      </c>
      <c r="BL44" s="19">
        <f t="shared" si="27"/>
        <v>0</v>
      </c>
      <c r="BM44" s="19">
        <f t="shared" si="28"/>
        <v>0</v>
      </c>
      <c r="BN44" s="19">
        <f t="shared" si="29"/>
        <v>0</v>
      </c>
      <c r="BO44" s="19">
        <f t="shared" si="30"/>
        <v>0</v>
      </c>
      <c r="BP44" s="19">
        <f t="shared" si="31"/>
        <v>0</v>
      </c>
      <c r="BQ44" s="19">
        <f t="shared" si="32"/>
        <v>0</v>
      </c>
      <c r="BR44" s="18">
        <f t="shared" si="33"/>
        <v>-358800000</v>
      </c>
      <c r="BU44" s="37"/>
      <c r="BV44" s="24">
        <v>0</v>
      </c>
      <c r="BW44" s="20">
        <f t="shared" si="38"/>
        <v>0.3415922014622258</v>
      </c>
      <c r="BX44" s="20">
        <f t="shared" si="34"/>
        <v>0.3867162803971414</v>
      </c>
      <c r="BY44" s="20">
        <f t="shared" si="34"/>
        <v>0.39358441341045353</v>
      </c>
      <c r="BZ44" s="20">
        <f t="shared" si="34"/>
        <v>0.39465123071155611</v>
      </c>
      <c r="CA44" s="20">
        <f t="shared" si="34"/>
        <v>0.39481745705771337</v>
      </c>
      <c r="CB44" s="20">
        <f t="shared" si="34"/>
        <v>0.39484337025824801</v>
      </c>
      <c r="CC44" s="20">
        <f t="shared" si="34"/>
        <v>0.39484741020089792</v>
      </c>
      <c r="CD44" s="20">
        <f t="shared" si="34"/>
        <v>0.39484804004704999</v>
      </c>
      <c r="CE44" s="20">
        <f t="shared" si="34"/>
        <v>0.39484813824322279</v>
      </c>
      <c r="CF44" s="20">
        <f t="shared" si="34"/>
        <v>0.39484815355250286</v>
      </c>
      <c r="CG44" s="20">
        <f t="shared" si="34"/>
        <v>0.39484815593929717</v>
      </c>
      <c r="CH44" s="20">
        <f t="shared" si="34"/>
        <v>0.39484815631141046</v>
      </c>
      <c r="CI44" s="20">
        <f t="shared" si="34"/>
        <v>0.39484815636942483</v>
      </c>
      <c r="CJ44" s="20">
        <f t="shared" si="34"/>
        <v>0.39484815637846954</v>
      </c>
      <c r="CK44" s="20">
        <f t="shared" si="34"/>
        <v>0.39484815637987963</v>
      </c>
      <c r="CL44" s="20">
        <f t="shared" si="34"/>
        <v>0.39484815638009951</v>
      </c>
      <c r="CM44" s="20">
        <f t="shared" si="34"/>
        <v>0.39484815638013382</v>
      </c>
      <c r="CN44" s="20">
        <f t="shared" si="34"/>
        <v>0.39484815638013915</v>
      </c>
      <c r="CO44" s="20">
        <f t="shared" si="34"/>
        <v>0.39484815638013998</v>
      </c>
      <c r="CP44" s="20">
        <f t="shared" si="34"/>
        <v>0.39484815638014015</v>
      </c>
      <c r="CQ44" s="20">
        <f t="shared" si="34"/>
        <v>0.39484815638014015</v>
      </c>
      <c r="CR44" s="20">
        <f t="shared" si="34"/>
        <v>0.39484815638014015</v>
      </c>
      <c r="CS44" s="20">
        <f t="shared" si="34"/>
        <v>0.39484815638014015</v>
      </c>
      <c r="CT44" s="20">
        <f t="shared" si="34"/>
        <v>0.39484815638014015</v>
      </c>
      <c r="CU44" s="20">
        <f t="shared" si="34"/>
        <v>0.39484815638014015</v>
      </c>
      <c r="CV44" s="20">
        <f t="shared" si="34"/>
        <v>0.39484815638014015</v>
      </c>
      <c r="CW44" s="20">
        <f t="shared" si="34"/>
        <v>0.39484815638014015</v>
      </c>
      <c r="CX44" s="20">
        <f t="shared" si="34"/>
        <v>0.39484815638014015</v>
      </c>
      <c r="CY44" s="24">
        <f t="shared" si="34"/>
        <v>0.39484815638014015</v>
      </c>
      <c r="DB44" s="37"/>
      <c r="DC44" s="16">
        <f t="shared" si="39"/>
        <v>300</v>
      </c>
      <c r="DD44" s="20">
        <f t="shared" si="40"/>
        <v>102.47766043866774</v>
      </c>
      <c r="DE44" s="20">
        <f t="shared" si="35"/>
        <v>39.629779668642875</v>
      </c>
      <c r="DF44" s="20">
        <f t="shared" si="35"/>
        <v>15.597663584468325</v>
      </c>
      <c r="DG44" s="20">
        <f t="shared" si="35"/>
        <v>6.1556371298352461</v>
      </c>
      <c r="DH44" s="20">
        <f t="shared" si="35"/>
        <v>2.4303529981715934</v>
      </c>
      <c r="DI44" s="20">
        <f t="shared" si="35"/>
        <v>0.95960876871530965</v>
      </c>
      <c r="DJ44" s="20">
        <f t="shared" si="35"/>
        <v>0.37889903713331241</v>
      </c>
      <c r="DK44" s="20">
        <f t="shared" si="35"/>
        <v>0.14960754218780284</v>
      </c>
      <c r="DL44" s="20">
        <f t="shared" si="35"/>
        <v>5.9072259499998357E-2</v>
      </c>
      <c r="DM44" s="20">
        <f t="shared" si="35"/>
        <v>2.3324572589748647E-2</v>
      </c>
      <c r="DN44" s="20">
        <f t="shared" si="35"/>
        <v>9.2096644751345318E-3</v>
      </c>
      <c r="DO44" s="20">
        <f t="shared" si="35"/>
        <v>3.6364190382535641E-3</v>
      </c>
      <c r="DP44" s="20">
        <f t="shared" si="35"/>
        <v>1.4358333530410969E-3</v>
      </c>
      <c r="DQ44" s="20">
        <f t="shared" si="35"/>
        <v>5.6693615231499328E-4</v>
      </c>
      <c r="DR44" s="20">
        <f t="shared" si="35"/>
        <v>2.2385369452667772E-4</v>
      </c>
      <c r="DS44" s="20">
        <f t="shared" si="35"/>
        <v>8.8388218582732665E-5</v>
      </c>
      <c r="DT44" s="20">
        <f t="shared" si="35"/>
        <v>3.4899925153116278E-5</v>
      </c>
      <c r="DU44" s="20">
        <f t="shared" si="35"/>
        <v>1.3780171104512806E-5</v>
      </c>
      <c r="DV44" s="20">
        <f t="shared" si="35"/>
        <v>5.4410751552197585E-6</v>
      </c>
      <c r="DW44" s="20">
        <f t="shared" si="35"/>
        <v>2.1483984937643062E-6</v>
      </c>
      <c r="DX44" s="20">
        <f t="shared" si="35"/>
        <v>8.4829118443270635E-7</v>
      </c>
      <c r="DY44" s="20">
        <f t="shared" si="35"/>
        <v>3.3494621024677948E-7</v>
      </c>
      <c r="DZ44" s="20">
        <f t="shared" si="35"/>
        <v>1.3225289360245567E-7</v>
      </c>
      <c r="EA44" s="20">
        <f t="shared" si="35"/>
        <v>5.2219811214868452E-8</v>
      </c>
      <c r="EB44" s="20">
        <f t="shared" si="35"/>
        <v>2.0618896184709772E-8</v>
      </c>
      <c r="EC44" s="20">
        <f t="shared" si="35"/>
        <v>8.1413331451261602E-9</v>
      </c>
      <c r="ED44" s="20">
        <f t="shared" si="35"/>
        <v>3.2145903828295923E-9</v>
      </c>
      <c r="EE44" s="20">
        <f t="shared" si="35"/>
        <v>1.2692750861775935E-9</v>
      </c>
      <c r="EF44" s="24">
        <f t="shared" si="35"/>
        <v>36.620875384152697</v>
      </c>
    </row>
    <row r="45" spans="6:136" ht="15" customHeight="1" x14ac:dyDescent="0.25">
      <c r="F45" s="34"/>
      <c r="G45" s="16">
        <f t="shared" si="36"/>
        <v>300</v>
      </c>
      <c r="H45" s="17">
        <f t="shared" si="3"/>
        <v>118.45444691446514</v>
      </c>
      <c r="I45" s="17">
        <f t="shared" si="3"/>
        <v>46.771519980277262</v>
      </c>
      <c r="J45" s="17">
        <f t="shared" si="3"/>
        <v>18.467648438023144</v>
      </c>
      <c r="K45" s="17">
        <f t="shared" si="3"/>
        <v>7.2919169453029777</v>
      </c>
      <c r="L45" s="17">
        <f t="shared" si="3"/>
        <v>2.8791999797365877</v>
      </c>
      <c r="M45" s="17">
        <f t="shared" si="3"/>
        <v>1.1368468479330263</v>
      </c>
      <c r="N45" s="17">
        <f t="shared" si="3"/>
        <v>0.4488819936416657</v>
      </c>
      <c r="O45" s="17">
        <f t="shared" si="3"/>
        <v>0.17724051038538166</v>
      </c>
      <c r="P45" s="17">
        <f t="shared" si="3"/>
        <v>6.998380489437428E-2</v>
      </c>
      <c r="Q45" s="17">
        <f t="shared" si="3"/>
        <v>2.7634790030729509E-2</v>
      </c>
      <c r="R45" s="17">
        <f t="shared" si="3"/>
        <v>1.0916139285953969E-2</v>
      </c>
      <c r="S45" s="17">
        <f t="shared" si="3"/>
        <v>4.3218507802320468E-3</v>
      </c>
      <c r="T45" s="17">
        <f t="shared" si="3"/>
        <v>1.7359375522520962E-3</v>
      </c>
      <c r="U45" s="17">
        <f t="shared" si="3"/>
        <v>7.600496402729004E-4</v>
      </c>
      <c r="V45" s="17">
        <f t="shared" si="3"/>
        <v>4.8908291665620478E-4</v>
      </c>
      <c r="W45" s="17">
        <f t="shared" si="3"/>
        <v>6.7172460563384923E-4</v>
      </c>
      <c r="X45" s="17">
        <f t="shared" si="3"/>
        <v>1.4773689015013898E-3</v>
      </c>
      <c r="Y45" s="17">
        <f t="shared" si="3"/>
        <v>3.6532245447780669E-3</v>
      </c>
      <c r="Z45" s="17">
        <f t="shared" si="3"/>
        <v>9.2173264959345223E-3</v>
      </c>
      <c r="AA45" s="17">
        <f t="shared" si="3"/>
        <v>2.3330197373165804E-2</v>
      </c>
      <c r="AB45" s="17">
        <f t="shared" si="3"/>
        <v>5.9081063435972983E-2</v>
      </c>
      <c r="AC45" s="17">
        <f t="shared" si="3"/>
        <v>0.14962768393404643</v>
      </c>
      <c r="AD45" s="17">
        <f t="shared" si="3"/>
        <v>0.37894908858022486</v>
      </c>
      <c r="AE45" s="17">
        <f t="shared" si="3"/>
        <v>0.95973338156478072</v>
      </c>
      <c r="AF45" s="17">
        <f t="shared" si="3"/>
        <v>2.4306390034679204</v>
      </c>
      <c r="AG45" s="17">
        <f t="shared" si="3"/>
        <v>6.1558828212152665</v>
      </c>
      <c r="AH45" s="17">
        <f t="shared" si="3"/>
        <v>15.590506663395324</v>
      </c>
      <c r="AI45" s="17">
        <f t="shared" si="41"/>
        <v>39.484815639283291</v>
      </c>
      <c r="AJ45" s="16">
        <f t="shared" si="37"/>
        <v>100</v>
      </c>
      <c r="AN45" s="39"/>
      <c r="AO45" s="18">
        <f t="shared" si="4"/>
        <v>-1076400000</v>
      </c>
      <c r="AP45" s="19">
        <f t="shared" si="5"/>
        <v>0</v>
      </c>
      <c r="AQ45" s="19">
        <f t="shared" si="6"/>
        <v>0</v>
      </c>
      <c r="AR45" s="19">
        <f t="shared" si="7"/>
        <v>0</v>
      </c>
      <c r="AS45" s="19">
        <f t="shared" si="8"/>
        <v>0</v>
      </c>
      <c r="AT45" s="19">
        <f t="shared" si="9"/>
        <v>0</v>
      </c>
      <c r="AU45" s="19">
        <f t="shared" si="10"/>
        <v>0</v>
      </c>
      <c r="AV45" s="19">
        <f t="shared" si="11"/>
        <v>0</v>
      </c>
      <c r="AW45" s="19">
        <f t="shared" si="12"/>
        <v>0</v>
      </c>
      <c r="AX45" s="19">
        <f t="shared" si="13"/>
        <v>0</v>
      </c>
      <c r="AY45" s="19">
        <f t="shared" si="14"/>
        <v>0</v>
      </c>
      <c r="AZ45" s="19">
        <f t="shared" si="15"/>
        <v>0</v>
      </c>
      <c r="BA45" s="19">
        <f t="shared" si="16"/>
        <v>0</v>
      </c>
      <c r="BB45" s="19">
        <f t="shared" si="17"/>
        <v>0</v>
      </c>
      <c r="BC45" s="19">
        <f t="shared" si="18"/>
        <v>0</v>
      </c>
      <c r="BD45" s="19">
        <f t="shared" si="19"/>
        <v>0</v>
      </c>
      <c r="BE45" s="19">
        <f t="shared" si="20"/>
        <v>0</v>
      </c>
      <c r="BF45" s="19">
        <f t="shared" si="21"/>
        <v>0</v>
      </c>
      <c r="BG45" s="19">
        <f t="shared" si="22"/>
        <v>0</v>
      </c>
      <c r="BH45" s="19">
        <f t="shared" si="23"/>
        <v>0</v>
      </c>
      <c r="BI45" s="19">
        <f t="shared" si="24"/>
        <v>0</v>
      </c>
      <c r="BJ45" s="19">
        <f t="shared" si="25"/>
        <v>0</v>
      </c>
      <c r="BK45" s="19">
        <f t="shared" si="26"/>
        <v>0</v>
      </c>
      <c r="BL45" s="19">
        <f t="shared" si="27"/>
        <v>0</v>
      </c>
      <c r="BM45" s="19">
        <f t="shared" si="28"/>
        <v>0</v>
      </c>
      <c r="BN45" s="19">
        <f t="shared" si="29"/>
        <v>0</v>
      </c>
      <c r="BO45" s="19">
        <f t="shared" si="30"/>
        <v>0</v>
      </c>
      <c r="BP45" s="19">
        <f t="shared" si="31"/>
        <v>0</v>
      </c>
      <c r="BQ45" s="19">
        <f t="shared" si="32"/>
        <v>0</v>
      </c>
      <c r="BR45" s="18">
        <f t="shared" si="33"/>
        <v>-358800000</v>
      </c>
      <c r="BU45" s="37"/>
      <c r="BV45" s="24">
        <v>0</v>
      </c>
      <c r="BW45" s="20">
        <f t="shared" si="38"/>
        <v>0.3415922014622258</v>
      </c>
      <c r="BX45" s="20">
        <f t="shared" si="34"/>
        <v>0.3867162803971414</v>
      </c>
      <c r="BY45" s="20">
        <f t="shared" si="34"/>
        <v>0.39358441341045353</v>
      </c>
      <c r="BZ45" s="20">
        <f t="shared" si="34"/>
        <v>0.39465123071155611</v>
      </c>
      <c r="CA45" s="20">
        <f t="shared" si="34"/>
        <v>0.39481745705771337</v>
      </c>
      <c r="CB45" s="20">
        <f t="shared" si="34"/>
        <v>0.39484337025824801</v>
      </c>
      <c r="CC45" s="20">
        <f t="shared" si="34"/>
        <v>0.39484741020089792</v>
      </c>
      <c r="CD45" s="20">
        <f t="shared" si="34"/>
        <v>0.39484804004704999</v>
      </c>
      <c r="CE45" s="20">
        <f t="shared" si="34"/>
        <v>0.39484813824322279</v>
      </c>
      <c r="CF45" s="20">
        <f t="shared" si="34"/>
        <v>0.39484815355250286</v>
      </c>
      <c r="CG45" s="20">
        <f t="shared" si="34"/>
        <v>0.39484815593929717</v>
      </c>
      <c r="CH45" s="20">
        <f t="shared" si="34"/>
        <v>0.39484815631141046</v>
      </c>
      <c r="CI45" s="20">
        <f t="shared" si="34"/>
        <v>0.39484815636942483</v>
      </c>
      <c r="CJ45" s="20">
        <f t="shared" si="34"/>
        <v>0.39484815637846954</v>
      </c>
      <c r="CK45" s="20">
        <f t="shared" si="34"/>
        <v>0.39484815637987963</v>
      </c>
      <c r="CL45" s="20">
        <f t="shared" si="34"/>
        <v>0.39484815638009951</v>
      </c>
      <c r="CM45" s="20">
        <f t="shared" si="34"/>
        <v>0.39484815638013382</v>
      </c>
      <c r="CN45" s="20">
        <f t="shared" si="34"/>
        <v>0.39484815638013915</v>
      </c>
      <c r="CO45" s="20">
        <f t="shared" si="34"/>
        <v>0.39484815638013998</v>
      </c>
      <c r="CP45" s="20">
        <f t="shared" si="34"/>
        <v>0.39484815638014015</v>
      </c>
      <c r="CQ45" s="20">
        <f t="shared" si="34"/>
        <v>0.39484815638014015</v>
      </c>
      <c r="CR45" s="20">
        <f t="shared" si="34"/>
        <v>0.39484815638014015</v>
      </c>
      <c r="CS45" s="20">
        <f t="shared" si="34"/>
        <v>0.39484815638014015</v>
      </c>
      <c r="CT45" s="20">
        <f t="shared" si="34"/>
        <v>0.39484815638014015</v>
      </c>
      <c r="CU45" s="20">
        <f t="shared" si="34"/>
        <v>0.39484815638014015</v>
      </c>
      <c r="CV45" s="20">
        <f t="shared" si="34"/>
        <v>0.39484815638014015</v>
      </c>
      <c r="CW45" s="20">
        <f t="shared" si="34"/>
        <v>0.39484815638014015</v>
      </c>
      <c r="CX45" s="20">
        <f t="shared" si="34"/>
        <v>0.39484815638014015</v>
      </c>
      <c r="CY45" s="24">
        <f t="shared" si="34"/>
        <v>0.39484815638014015</v>
      </c>
      <c r="DB45" s="37"/>
      <c r="DC45" s="16">
        <f t="shared" si="39"/>
        <v>300</v>
      </c>
      <c r="DD45" s="20">
        <f t="shared" si="40"/>
        <v>102.47766043866774</v>
      </c>
      <c r="DE45" s="20">
        <f t="shared" si="35"/>
        <v>39.629779668642875</v>
      </c>
      <c r="DF45" s="20">
        <f t="shared" si="35"/>
        <v>15.597663584468325</v>
      </c>
      <c r="DG45" s="20">
        <f t="shared" si="35"/>
        <v>6.1556371298352461</v>
      </c>
      <c r="DH45" s="20">
        <f t="shared" si="35"/>
        <v>2.4303529981715934</v>
      </c>
      <c r="DI45" s="20">
        <f t="shared" si="35"/>
        <v>0.95960876871530965</v>
      </c>
      <c r="DJ45" s="20">
        <f t="shared" si="35"/>
        <v>0.37889903713331241</v>
      </c>
      <c r="DK45" s="20">
        <f t="shared" si="35"/>
        <v>0.14960754218780284</v>
      </c>
      <c r="DL45" s="20">
        <f t="shared" si="35"/>
        <v>5.9072259499998357E-2</v>
      </c>
      <c r="DM45" s="20">
        <f t="shared" si="35"/>
        <v>2.3324572589748647E-2</v>
      </c>
      <c r="DN45" s="20">
        <f t="shared" si="35"/>
        <v>9.2096644751345318E-3</v>
      </c>
      <c r="DO45" s="20">
        <f t="shared" si="35"/>
        <v>3.6364190382535641E-3</v>
      </c>
      <c r="DP45" s="20">
        <f t="shared" si="35"/>
        <v>1.4358333530410969E-3</v>
      </c>
      <c r="DQ45" s="20">
        <f t="shared" si="35"/>
        <v>5.6693615231499328E-4</v>
      </c>
      <c r="DR45" s="20">
        <f t="shared" si="35"/>
        <v>2.2385369452667772E-4</v>
      </c>
      <c r="DS45" s="20">
        <f t="shared" si="35"/>
        <v>8.8388218582732665E-5</v>
      </c>
      <c r="DT45" s="20">
        <f t="shared" si="35"/>
        <v>3.4899925153116278E-5</v>
      </c>
      <c r="DU45" s="20">
        <f t="shared" si="35"/>
        <v>1.3780171104512806E-5</v>
      </c>
      <c r="DV45" s="20">
        <f t="shared" si="35"/>
        <v>5.4410751552197585E-6</v>
      </c>
      <c r="DW45" s="20">
        <f t="shared" si="35"/>
        <v>2.1483984937643062E-6</v>
      </c>
      <c r="DX45" s="20">
        <f t="shared" si="35"/>
        <v>8.4829118443270635E-7</v>
      </c>
      <c r="DY45" s="20">
        <f t="shared" si="35"/>
        <v>3.3494621024677948E-7</v>
      </c>
      <c r="DZ45" s="20">
        <f t="shared" si="35"/>
        <v>1.3225289360245567E-7</v>
      </c>
      <c r="EA45" s="20">
        <f t="shared" si="35"/>
        <v>5.2219811214868452E-8</v>
      </c>
      <c r="EB45" s="20">
        <f t="shared" si="35"/>
        <v>2.0618896184709772E-8</v>
      </c>
      <c r="EC45" s="20">
        <f t="shared" si="35"/>
        <v>8.1413331451261602E-9</v>
      </c>
      <c r="ED45" s="20">
        <f t="shared" si="35"/>
        <v>3.2145903828295923E-9</v>
      </c>
      <c r="EE45" s="20">
        <f t="shared" si="35"/>
        <v>1.2692750861775935E-9</v>
      </c>
      <c r="EF45" s="24">
        <f t="shared" si="35"/>
        <v>36.620875384152697</v>
      </c>
    </row>
    <row r="46" spans="6:136" ht="15" customHeight="1" x14ac:dyDescent="0.25">
      <c r="F46" s="34"/>
      <c r="G46" s="16">
        <f t="shared" si="36"/>
        <v>300</v>
      </c>
      <c r="H46" s="17">
        <f t="shared" si="3"/>
        <v>118.45444691446514</v>
      </c>
      <c r="I46" s="17">
        <f t="shared" si="3"/>
        <v>46.771519980277262</v>
      </c>
      <c r="J46" s="17">
        <f t="shared" si="3"/>
        <v>18.467648438023144</v>
      </c>
      <c r="K46" s="17">
        <f t="shared" si="3"/>
        <v>7.2919169453029777</v>
      </c>
      <c r="L46" s="17">
        <f t="shared" si="3"/>
        <v>2.8791999797365877</v>
      </c>
      <c r="M46" s="17">
        <f t="shared" si="3"/>
        <v>1.1368468479330263</v>
      </c>
      <c r="N46" s="17">
        <f t="shared" si="3"/>
        <v>0.4488819936416657</v>
      </c>
      <c r="O46" s="17">
        <f t="shared" si="3"/>
        <v>0.17724051038538166</v>
      </c>
      <c r="P46" s="17">
        <f t="shared" si="3"/>
        <v>6.998380489437428E-2</v>
      </c>
      <c r="Q46" s="17">
        <f t="shared" si="3"/>
        <v>2.7634790030729509E-2</v>
      </c>
      <c r="R46" s="17">
        <f t="shared" si="3"/>
        <v>1.0916139285953969E-2</v>
      </c>
      <c r="S46" s="17">
        <f t="shared" si="3"/>
        <v>4.3218507802320468E-3</v>
      </c>
      <c r="T46" s="17">
        <f t="shared" ref="T46:T66" si="42">CI46*U46+DP46</f>
        <v>1.7359375522520962E-3</v>
      </c>
      <c r="U46" s="17">
        <f t="shared" ref="U46:U66" si="43">CJ46*V46+DQ46</f>
        <v>7.600496402729004E-4</v>
      </c>
      <c r="V46" s="17">
        <f t="shared" ref="V46:V66" si="44">CK46*W46+DR46</f>
        <v>4.8908291665620478E-4</v>
      </c>
      <c r="W46" s="17">
        <f t="shared" ref="W46:W66" si="45">CL46*X46+DS46</f>
        <v>6.7172460563384923E-4</v>
      </c>
      <c r="X46" s="17">
        <f t="shared" ref="X46:X66" si="46">CM46*Y46+DT46</f>
        <v>1.4773689015013898E-3</v>
      </c>
      <c r="Y46" s="17">
        <f t="shared" ref="Y46:Y66" si="47">CN46*Z46+DU46</f>
        <v>3.6532245447780669E-3</v>
      </c>
      <c r="Z46" s="17">
        <f t="shared" ref="Z46:Z66" si="48">CO46*AA46+DV46</f>
        <v>9.2173264959345223E-3</v>
      </c>
      <c r="AA46" s="17">
        <f t="shared" ref="AA46:AA66" si="49">CP46*AB46+DW46</f>
        <v>2.3330197373165804E-2</v>
      </c>
      <c r="AB46" s="17">
        <f t="shared" ref="AB46:AB66" si="50">CQ46*AC46+DX46</f>
        <v>5.9081063435972983E-2</v>
      </c>
      <c r="AC46" s="17">
        <f t="shared" ref="AC46:AC66" si="51">CR46*AD46+DY46</f>
        <v>0.14962768393404643</v>
      </c>
      <c r="AD46" s="17">
        <f t="shared" ref="AD46:AD66" si="52">CS46*AE46+DZ46</f>
        <v>0.37894908858022486</v>
      </c>
      <c r="AE46" s="17">
        <f t="shared" ref="AE46:AE66" si="53">CT46*AF46+EA46</f>
        <v>0.95973338156478072</v>
      </c>
      <c r="AF46" s="17">
        <f t="shared" ref="AF46:AF66" si="54">CU46*AG46+EB46</f>
        <v>2.4306390034679204</v>
      </c>
      <c r="AG46" s="17">
        <f t="shared" ref="AG46:AG66" si="55">CV46*AH46+EC46</f>
        <v>6.1558828212152665</v>
      </c>
      <c r="AH46" s="17">
        <f t="shared" ref="AH46:AH66" si="56">CW46*AI46+ED46</f>
        <v>15.590506663395324</v>
      </c>
      <c r="AI46" s="17">
        <f t="shared" si="41"/>
        <v>39.484815639283291</v>
      </c>
      <c r="AJ46" s="16">
        <f t="shared" si="37"/>
        <v>100</v>
      </c>
      <c r="AN46" s="39"/>
      <c r="AO46" s="18">
        <f t="shared" si="4"/>
        <v>-1076400000</v>
      </c>
      <c r="AP46" s="19">
        <f t="shared" si="5"/>
        <v>0</v>
      </c>
      <c r="AQ46" s="19">
        <f t="shared" si="6"/>
        <v>0</v>
      </c>
      <c r="AR46" s="19">
        <f t="shared" si="7"/>
        <v>0</v>
      </c>
      <c r="AS46" s="19">
        <f t="shared" si="8"/>
        <v>0</v>
      </c>
      <c r="AT46" s="19">
        <f t="shared" si="9"/>
        <v>0</v>
      </c>
      <c r="AU46" s="19">
        <f t="shared" si="10"/>
        <v>0</v>
      </c>
      <c r="AV46" s="19">
        <f t="shared" si="11"/>
        <v>0</v>
      </c>
      <c r="AW46" s="19">
        <f t="shared" si="12"/>
        <v>0</v>
      </c>
      <c r="AX46" s="19">
        <f t="shared" si="13"/>
        <v>0</v>
      </c>
      <c r="AY46" s="19">
        <f t="shared" si="14"/>
        <v>0</v>
      </c>
      <c r="AZ46" s="19">
        <f t="shared" si="15"/>
        <v>0</v>
      </c>
      <c r="BA46" s="19">
        <f t="shared" si="16"/>
        <v>0</v>
      </c>
      <c r="BB46" s="19">
        <f t="shared" si="17"/>
        <v>0</v>
      </c>
      <c r="BC46" s="19">
        <f t="shared" si="18"/>
        <v>0</v>
      </c>
      <c r="BD46" s="19">
        <f t="shared" si="19"/>
        <v>0</v>
      </c>
      <c r="BE46" s="19">
        <f t="shared" si="20"/>
        <v>0</v>
      </c>
      <c r="BF46" s="19">
        <f t="shared" si="21"/>
        <v>0</v>
      </c>
      <c r="BG46" s="19">
        <f t="shared" si="22"/>
        <v>0</v>
      </c>
      <c r="BH46" s="19">
        <f t="shared" si="23"/>
        <v>0</v>
      </c>
      <c r="BI46" s="19">
        <f t="shared" si="24"/>
        <v>0</v>
      </c>
      <c r="BJ46" s="19">
        <f t="shared" si="25"/>
        <v>0</v>
      </c>
      <c r="BK46" s="19">
        <f t="shared" si="26"/>
        <v>0</v>
      </c>
      <c r="BL46" s="19">
        <f t="shared" si="27"/>
        <v>0</v>
      </c>
      <c r="BM46" s="19">
        <f t="shared" si="28"/>
        <v>0</v>
      </c>
      <c r="BN46" s="19">
        <f t="shared" si="29"/>
        <v>0</v>
      </c>
      <c r="BO46" s="19">
        <f t="shared" si="30"/>
        <v>0</v>
      </c>
      <c r="BP46" s="19">
        <f t="shared" si="31"/>
        <v>0</v>
      </c>
      <c r="BQ46" s="19">
        <f t="shared" si="32"/>
        <v>0</v>
      </c>
      <c r="BR46" s="18">
        <f t="shared" si="33"/>
        <v>-358800000</v>
      </c>
      <c r="BU46" s="37"/>
      <c r="BV46" s="24">
        <v>0</v>
      </c>
      <c r="BW46" s="20">
        <f t="shared" si="38"/>
        <v>0.3415922014622258</v>
      </c>
      <c r="BX46" s="20">
        <f t="shared" si="34"/>
        <v>0.3867162803971414</v>
      </c>
      <c r="BY46" s="20">
        <f t="shared" si="34"/>
        <v>0.39358441341045353</v>
      </c>
      <c r="BZ46" s="20">
        <f t="shared" si="34"/>
        <v>0.39465123071155611</v>
      </c>
      <c r="CA46" s="20">
        <f t="shared" si="34"/>
        <v>0.39481745705771337</v>
      </c>
      <c r="CB46" s="20">
        <f t="shared" si="34"/>
        <v>0.39484337025824801</v>
      </c>
      <c r="CC46" s="20">
        <f t="shared" si="34"/>
        <v>0.39484741020089792</v>
      </c>
      <c r="CD46" s="20">
        <f t="shared" si="34"/>
        <v>0.39484804004704999</v>
      </c>
      <c r="CE46" s="20">
        <f t="shared" si="34"/>
        <v>0.39484813824322279</v>
      </c>
      <c r="CF46" s="20">
        <f t="shared" si="34"/>
        <v>0.39484815355250286</v>
      </c>
      <c r="CG46" s="20">
        <f t="shared" si="34"/>
        <v>0.39484815593929717</v>
      </c>
      <c r="CH46" s="20">
        <f t="shared" si="34"/>
        <v>0.39484815631141046</v>
      </c>
      <c r="CI46" s="20">
        <f t="shared" si="34"/>
        <v>0.39484815636942483</v>
      </c>
      <c r="CJ46" s="20">
        <f t="shared" si="34"/>
        <v>0.39484815637846954</v>
      </c>
      <c r="CK46" s="20">
        <f t="shared" si="34"/>
        <v>0.39484815637987963</v>
      </c>
      <c r="CL46" s="20">
        <f t="shared" si="34"/>
        <v>0.39484815638009951</v>
      </c>
      <c r="CM46" s="20">
        <f t="shared" si="34"/>
        <v>0.39484815638013382</v>
      </c>
      <c r="CN46" s="20">
        <f t="shared" si="34"/>
        <v>0.39484815638013915</v>
      </c>
      <c r="CO46" s="20">
        <f t="shared" si="34"/>
        <v>0.39484815638013998</v>
      </c>
      <c r="CP46" s="20">
        <f t="shared" ref="BX46:CY55" si="57">$C$18/($C$19-$C$20*CO46)</f>
        <v>0.39484815638014015</v>
      </c>
      <c r="CQ46" s="20">
        <f t="shared" si="57"/>
        <v>0.39484815638014015</v>
      </c>
      <c r="CR46" s="20">
        <f t="shared" si="57"/>
        <v>0.39484815638014015</v>
      </c>
      <c r="CS46" s="20">
        <f t="shared" si="57"/>
        <v>0.39484815638014015</v>
      </c>
      <c r="CT46" s="20">
        <f t="shared" si="57"/>
        <v>0.39484815638014015</v>
      </c>
      <c r="CU46" s="20">
        <f t="shared" si="57"/>
        <v>0.39484815638014015</v>
      </c>
      <c r="CV46" s="20">
        <f t="shared" si="57"/>
        <v>0.39484815638014015</v>
      </c>
      <c r="CW46" s="20">
        <f t="shared" si="57"/>
        <v>0.39484815638014015</v>
      </c>
      <c r="CX46" s="20">
        <f t="shared" si="57"/>
        <v>0.39484815638014015</v>
      </c>
      <c r="CY46" s="24">
        <f t="shared" si="57"/>
        <v>0.39484815638014015</v>
      </c>
      <c r="DB46" s="37"/>
      <c r="DC46" s="16">
        <f t="shared" si="39"/>
        <v>300</v>
      </c>
      <c r="DD46" s="20">
        <f t="shared" si="40"/>
        <v>102.47766043866774</v>
      </c>
      <c r="DE46" s="20">
        <f t="shared" si="35"/>
        <v>39.629779668642875</v>
      </c>
      <c r="DF46" s="20">
        <f t="shared" si="35"/>
        <v>15.597663584468325</v>
      </c>
      <c r="DG46" s="20">
        <f t="shared" si="35"/>
        <v>6.1556371298352461</v>
      </c>
      <c r="DH46" s="20">
        <f t="shared" ref="DH46:DH66" si="58">(DG46*$C$20-AT46)/($C$19-$C$20*BZ46)</f>
        <v>2.4303529981715934</v>
      </c>
      <c r="DI46" s="20">
        <f t="shared" ref="DI46:DI66" si="59">(DH46*$C$20-AU46)/($C$19-$C$20*CA46)</f>
        <v>0.95960876871530965</v>
      </c>
      <c r="DJ46" s="20">
        <f t="shared" ref="DJ46:DJ66" si="60">(DI46*$C$20-AV46)/($C$19-$C$20*CB46)</f>
        <v>0.37889903713331241</v>
      </c>
      <c r="DK46" s="20">
        <f t="shared" ref="DK46:DK66" si="61">(DJ46*$C$20-AW46)/($C$19-$C$20*CC46)</f>
        <v>0.14960754218780284</v>
      </c>
      <c r="DL46" s="20">
        <f t="shared" ref="DL46:DL66" si="62">(DK46*$C$20-AX46)/($C$19-$C$20*CD46)</f>
        <v>5.9072259499998357E-2</v>
      </c>
      <c r="DM46" s="20">
        <f t="shared" ref="DM46:DM66" si="63">(DL46*$C$20-AY46)/($C$19-$C$20*CE46)</f>
        <v>2.3324572589748647E-2</v>
      </c>
      <c r="DN46" s="20">
        <f t="shared" ref="DN46:DN66" si="64">(DM46*$C$20-AZ46)/($C$19-$C$20*CF46)</f>
        <v>9.2096644751345318E-3</v>
      </c>
      <c r="DO46" s="20">
        <f t="shared" ref="DO46:DO66" si="65">(DN46*$C$20-BA46)/($C$19-$C$20*CG46)</f>
        <v>3.6364190382535641E-3</v>
      </c>
      <c r="DP46" s="20">
        <f t="shared" ref="DP46:DP66" si="66">(DO46*$C$20-BB46)/($C$19-$C$20*CH46)</f>
        <v>1.4358333530410969E-3</v>
      </c>
      <c r="DQ46" s="20">
        <f t="shared" ref="DQ46:DQ66" si="67">(DP46*$C$20-BC46)/($C$19-$C$20*CI46)</f>
        <v>5.6693615231499328E-4</v>
      </c>
      <c r="DR46" s="20">
        <f t="shared" ref="DR46:DR66" si="68">(DQ46*$C$20-BD46)/($C$19-$C$20*CJ46)</f>
        <v>2.2385369452667772E-4</v>
      </c>
      <c r="DS46" s="20">
        <f t="shared" ref="DS46:DS66" si="69">(DR46*$C$20-BE46)/($C$19-$C$20*CK46)</f>
        <v>8.8388218582732665E-5</v>
      </c>
      <c r="DT46" s="20">
        <f t="shared" ref="DT46:DT66" si="70">(DS46*$C$20-BF46)/($C$19-$C$20*CL46)</f>
        <v>3.4899925153116278E-5</v>
      </c>
      <c r="DU46" s="20">
        <f t="shared" ref="DU46:DU66" si="71">(DT46*$C$20-BG46)/($C$19-$C$20*CM46)</f>
        <v>1.3780171104512806E-5</v>
      </c>
      <c r="DV46" s="20">
        <f t="shared" ref="DV46:DV66" si="72">(DU46*$C$20-BH46)/($C$19-$C$20*CN46)</f>
        <v>5.4410751552197585E-6</v>
      </c>
      <c r="DW46" s="20">
        <f t="shared" ref="DW46:DW66" si="73">(DV46*$C$20-BI46)/($C$19-$C$20*CO46)</f>
        <v>2.1483984937643062E-6</v>
      </c>
      <c r="DX46" s="20">
        <f t="shared" ref="DX46:DX66" si="74">(DW46*$C$20-BJ46)/($C$19-$C$20*CP46)</f>
        <v>8.4829118443270635E-7</v>
      </c>
      <c r="DY46" s="20">
        <f t="shared" ref="DY46:DY66" si="75">(DX46*$C$20-BK46)/($C$19-$C$20*CQ46)</f>
        <v>3.3494621024677948E-7</v>
      </c>
      <c r="DZ46" s="20">
        <f t="shared" ref="DZ46:DZ66" si="76">(DY46*$C$20-BL46)/($C$19-$C$20*CR46)</f>
        <v>1.3225289360245567E-7</v>
      </c>
      <c r="EA46" s="20">
        <f t="shared" ref="EA46:EA66" si="77">(DZ46*$C$20-BM46)/($C$19-$C$20*CS46)</f>
        <v>5.2219811214868452E-8</v>
      </c>
      <c r="EB46" s="20">
        <f t="shared" ref="EB46:EB66" si="78">(EA46*$C$20-BN46)/($C$19-$C$20*CT46)</f>
        <v>2.0618896184709772E-8</v>
      </c>
      <c r="EC46" s="20">
        <f t="shared" ref="EC46:EC66" si="79">(EB46*$C$20-BO46)/($C$19-$C$20*CU46)</f>
        <v>8.1413331451261602E-9</v>
      </c>
      <c r="ED46" s="20">
        <f t="shared" ref="ED46:ED66" si="80">(EC46*$C$20-BP46)/($C$19-$C$20*CV46)</f>
        <v>3.2145903828295923E-9</v>
      </c>
      <c r="EE46" s="20">
        <f t="shared" ref="EE46:EE66" si="81">(ED46*$C$20-BQ46)/($C$19-$C$20*CW46)</f>
        <v>1.2692750861775935E-9</v>
      </c>
      <c r="EF46" s="24">
        <f t="shared" ref="EF46:EF66" si="82">(EE46*$C$20-BR46)/($C$19-$C$20*CX46)</f>
        <v>36.620875384152697</v>
      </c>
    </row>
    <row r="47" spans="6:136" ht="15" customHeight="1" x14ac:dyDescent="0.25">
      <c r="F47" s="34"/>
      <c r="G47" s="16">
        <f t="shared" si="36"/>
        <v>300</v>
      </c>
      <c r="H47" s="17">
        <f t="shared" ref="H47:H65" si="83">BW47*I47+DD47</f>
        <v>118.45444691446514</v>
      </c>
      <c r="I47" s="17">
        <f t="shared" ref="I47:I66" si="84">BX47*J47+DE47</f>
        <v>46.771519980277262</v>
      </c>
      <c r="J47" s="17">
        <f t="shared" ref="J47:J66" si="85">BY47*K47+DF47</f>
        <v>18.467648438023144</v>
      </c>
      <c r="K47" s="17">
        <f t="shared" ref="K47:K66" si="86">BZ47*L47+DG47</f>
        <v>7.2919169453029777</v>
      </c>
      <c r="L47" s="17">
        <f t="shared" ref="L47:L66" si="87">CA47*M47+DH47</f>
        <v>2.8791999797365877</v>
      </c>
      <c r="M47" s="17">
        <f t="shared" ref="M47:M66" si="88">CB47*N47+DI47</f>
        <v>1.1368468479330263</v>
      </c>
      <c r="N47" s="17">
        <f t="shared" ref="N47:N66" si="89">CC47*O47+DJ47</f>
        <v>0.4488819936416657</v>
      </c>
      <c r="O47" s="17">
        <f t="shared" ref="O47:O66" si="90">CD47*P47+DK47</f>
        <v>0.17724051038538166</v>
      </c>
      <c r="P47" s="17">
        <f t="shared" ref="P47:P66" si="91">CE47*Q47+DL47</f>
        <v>6.998380489437428E-2</v>
      </c>
      <c r="Q47" s="17">
        <f t="shared" ref="Q47:Q66" si="92">CF47*R47+DM47</f>
        <v>2.7634790030729509E-2</v>
      </c>
      <c r="R47" s="17">
        <f t="shared" ref="R47:R66" si="93">CG47*S47+DN47</f>
        <v>1.0916139285953969E-2</v>
      </c>
      <c r="S47" s="17">
        <f t="shared" ref="S47:S66" si="94">CH47*T47+DO47</f>
        <v>4.3218507802320468E-3</v>
      </c>
      <c r="T47" s="17">
        <f t="shared" si="42"/>
        <v>1.7359375522520962E-3</v>
      </c>
      <c r="U47" s="17">
        <f t="shared" si="43"/>
        <v>7.600496402729004E-4</v>
      </c>
      <c r="V47" s="17">
        <f t="shared" si="44"/>
        <v>4.8908291665620478E-4</v>
      </c>
      <c r="W47" s="17">
        <f t="shared" si="45"/>
        <v>6.7172460563384923E-4</v>
      </c>
      <c r="X47" s="17">
        <f t="shared" si="46"/>
        <v>1.4773689015013898E-3</v>
      </c>
      <c r="Y47" s="17">
        <f t="shared" si="47"/>
        <v>3.6532245447780669E-3</v>
      </c>
      <c r="Z47" s="17">
        <f t="shared" si="48"/>
        <v>9.2173264959345223E-3</v>
      </c>
      <c r="AA47" s="17">
        <f t="shared" si="49"/>
        <v>2.3330197373165804E-2</v>
      </c>
      <c r="AB47" s="17">
        <f t="shared" si="50"/>
        <v>5.9081063435972983E-2</v>
      </c>
      <c r="AC47" s="17">
        <f t="shared" si="51"/>
        <v>0.14962768393404643</v>
      </c>
      <c r="AD47" s="17">
        <f t="shared" si="52"/>
        <v>0.37894908858022486</v>
      </c>
      <c r="AE47" s="17">
        <f t="shared" si="53"/>
        <v>0.95973338156478072</v>
      </c>
      <c r="AF47" s="17">
        <f t="shared" si="54"/>
        <v>2.4306390034679204</v>
      </c>
      <c r="AG47" s="17">
        <f t="shared" si="55"/>
        <v>6.1558828212152665</v>
      </c>
      <c r="AH47" s="17">
        <f t="shared" si="56"/>
        <v>15.590506663395324</v>
      </c>
      <c r="AI47" s="17">
        <f t="shared" si="41"/>
        <v>39.484815639283291</v>
      </c>
      <c r="AJ47" s="16">
        <f t="shared" si="37"/>
        <v>100</v>
      </c>
      <c r="AN47" s="39"/>
      <c r="AO47" s="18">
        <f t="shared" si="4"/>
        <v>-1076400000</v>
      </c>
      <c r="AP47" s="19">
        <f t="shared" si="5"/>
        <v>0</v>
      </c>
      <c r="AQ47" s="19">
        <f t="shared" si="6"/>
        <v>0</v>
      </c>
      <c r="AR47" s="19">
        <f t="shared" si="7"/>
        <v>0</v>
      </c>
      <c r="AS47" s="19">
        <f t="shared" si="8"/>
        <v>0</v>
      </c>
      <c r="AT47" s="19">
        <f t="shared" si="9"/>
        <v>0</v>
      </c>
      <c r="AU47" s="19">
        <f t="shared" si="10"/>
        <v>0</v>
      </c>
      <c r="AV47" s="19">
        <f t="shared" si="11"/>
        <v>0</v>
      </c>
      <c r="AW47" s="19">
        <f t="shared" si="12"/>
        <v>0</v>
      </c>
      <c r="AX47" s="19">
        <f t="shared" si="13"/>
        <v>0</v>
      </c>
      <c r="AY47" s="19">
        <f t="shared" si="14"/>
        <v>0</v>
      </c>
      <c r="AZ47" s="19">
        <f t="shared" si="15"/>
        <v>0</v>
      </c>
      <c r="BA47" s="19">
        <f t="shared" si="16"/>
        <v>0</v>
      </c>
      <c r="BB47" s="19">
        <f t="shared" si="17"/>
        <v>0</v>
      </c>
      <c r="BC47" s="19">
        <f t="shared" si="18"/>
        <v>0</v>
      </c>
      <c r="BD47" s="19">
        <f t="shared" si="19"/>
        <v>0</v>
      </c>
      <c r="BE47" s="19">
        <f t="shared" si="20"/>
        <v>0</v>
      </c>
      <c r="BF47" s="19">
        <f t="shared" si="21"/>
        <v>0</v>
      </c>
      <c r="BG47" s="19">
        <f t="shared" si="22"/>
        <v>0</v>
      </c>
      <c r="BH47" s="19">
        <f t="shared" si="23"/>
        <v>0</v>
      </c>
      <c r="BI47" s="19">
        <f t="shared" si="24"/>
        <v>0</v>
      </c>
      <c r="BJ47" s="19">
        <f t="shared" si="25"/>
        <v>0</v>
      </c>
      <c r="BK47" s="19">
        <f t="shared" si="26"/>
        <v>0</v>
      </c>
      <c r="BL47" s="19">
        <f t="shared" si="27"/>
        <v>0</v>
      </c>
      <c r="BM47" s="19">
        <f t="shared" si="28"/>
        <v>0</v>
      </c>
      <c r="BN47" s="19">
        <f t="shared" si="29"/>
        <v>0</v>
      </c>
      <c r="BO47" s="19">
        <f t="shared" si="30"/>
        <v>0</v>
      </c>
      <c r="BP47" s="19">
        <f t="shared" si="31"/>
        <v>0</v>
      </c>
      <c r="BQ47" s="19">
        <f t="shared" si="32"/>
        <v>0</v>
      </c>
      <c r="BR47" s="18">
        <f t="shared" si="33"/>
        <v>-358800000</v>
      </c>
      <c r="BU47" s="37"/>
      <c r="BV47" s="24">
        <v>0</v>
      </c>
      <c r="BW47" s="20">
        <f t="shared" si="38"/>
        <v>0.3415922014622258</v>
      </c>
      <c r="BX47" s="20">
        <f t="shared" si="57"/>
        <v>0.3867162803971414</v>
      </c>
      <c r="BY47" s="20">
        <f t="shared" si="57"/>
        <v>0.39358441341045353</v>
      </c>
      <c r="BZ47" s="20">
        <f t="shared" si="57"/>
        <v>0.39465123071155611</v>
      </c>
      <c r="CA47" s="20">
        <f t="shared" si="57"/>
        <v>0.39481745705771337</v>
      </c>
      <c r="CB47" s="20">
        <f t="shared" si="57"/>
        <v>0.39484337025824801</v>
      </c>
      <c r="CC47" s="20">
        <f t="shared" si="57"/>
        <v>0.39484741020089792</v>
      </c>
      <c r="CD47" s="20">
        <f t="shared" si="57"/>
        <v>0.39484804004704999</v>
      </c>
      <c r="CE47" s="20">
        <f t="shared" si="57"/>
        <v>0.39484813824322279</v>
      </c>
      <c r="CF47" s="20">
        <f t="shared" si="57"/>
        <v>0.39484815355250286</v>
      </c>
      <c r="CG47" s="20">
        <f t="shared" si="57"/>
        <v>0.39484815593929717</v>
      </c>
      <c r="CH47" s="20">
        <f t="shared" si="57"/>
        <v>0.39484815631141046</v>
      </c>
      <c r="CI47" s="20">
        <f t="shared" si="57"/>
        <v>0.39484815636942483</v>
      </c>
      <c r="CJ47" s="20">
        <f t="shared" si="57"/>
        <v>0.39484815637846954</v>
      </c>
      <c r="CK47" s="20">
        <f t="shared" si="57"/>
        <v>0.39484815637987963</v>
      </c>
      <c r="CL47" s="20">
        <f t="shared" si="57"/>
        <v>0.39484815638009951</v>
      </c>
      <c r="CM47" s="20">
        <f t="shared" si="57"/>
        <v>0.39484815638013382</v>
      </c>
      <c r="CN47" s="20">
        <f t="shared" si="57"/>
        <v>0.39484815638013915</v>
      </c>
      <c r="CO47" s="20">
        <f t="shared" si="57"/>
        <v>0.39484815638013998</v>
      </c>
      <c r="CP47" s="20">
        <f t="shared" si="57"/>
        <v>0.39484815638014015</v>
      </c>
      <c r="CQ47" s="20">
        <f t="shared" si="57"/>
        <v>0.39484815638014015</v>
      </c>
      <c r="CR47" s="20">
        <f t="shared" si="57"/>
        <v>0.39484815638014015</v>
      </c>
      <c r="CS47" s="20">
        <f t="shared" si="57"/>
        <v>0.39484815638014015</v>
      </c>
      <c r="CT47" s="20">
        <f t="shared" si="57"/>
        <v>0.39484815638014015</v>
      </c>
      <c r="CU47" s="20">
        <f t="shared" si="57"/>
        <v>0.39484815638014015</v>
      </c>
      <c r="CV47" s="20">
        <f t="shared" si="57"/>
        <v>0.39484815638014015</v>
      </c>
      <c r="CW47" s="20">
        <f t="shared" si="57"/>
        <v>0.39484815638014015</v>
      </c>
      <c r="CX47" s="20">
        <f t="shared" si="57"/>
        <v>0.39484815638014015</v>
      </c>
      <c r="CY47" s="24">
        <f t="shared" si="57"/>
        <v>0.39484815638014015</v>
      </c>
      <c r="DB47" s="37"/>
      <c r="DC47" s="16">
        <f t="shared" si="39"/>
        <v>300</v>
      </c>
      <c r="DD47" s="20">
        <f t="shared" si="40"/>
        <v>102.47766043866774</v>
      </c>
      <c r="DE47" s="20">
        <f t="shared" ref="DE47:DE66" si="95">(DD47*$C$20-AQ47)/($C$19-$C$20*BW47)</f>
        <v>39.629779668642875</v>
      </c>
      <c r="DF47" s="20">
        <f t="shared" ref="DF47:DF66" si="96">(DE47*$C$20-AR47)/($C$19-$C$20*BX47)</f>
        <v>15.597663584468325</v>
      </c>
      <c r="DG47" s="20">
        <f t="shared" ref="DG47:DG66" si="97">(DF47*$C$20-AS47)/($C$19-$C$20*BY47)</f>
        <v>6.1556371298352461</v>
      </c>
      <c r="DH47" s="20">
        <f t="shared" si="58"/>
        <v>2.4303529981715934</v>
      </c>
      <c r="DI47" s="20">
        <f t="shared" si="59"/>
        <v>0.95960876871530965</v>
      </c>
      <c r="DJ47" s="20">
        <f t="shared" si="60"/>
        <v>0.37889903713331241</v>
      </c>
      <c r="DK47" s="20">
        <f t="shared" si="61"/>
        <v>0.14960754218780284</v>
      </c>
      <c r="DL47" s="20">
        <f t="shared" si="62"/>
        <v>5.9072259499998357E-2</v>
      </c>
      <c r="DM47" s="20">
        <f t="shared" si="63"/>
        <v>2.3324572589748647E-2</v>
      </c>
      <c r="DN47" s="20">
        <f t="shared" si="64"/>
        <v>9.2096644751345318E-3</v>
      </c>
      <c r="DO47" s="20">
        <f t="shared" si="65"/>
        <v>3.6364190382535641E-3</v>
      </c>
      <c r="DP47" s="20">
        <f t="shared" si="66"/>
        <v>1.4358333530410969E-3</v>
      </c>
      <c r="DQ47" s="20">
        <f t="shared" si="67"/>
        <v>5.6693615231499328E-4</v>
      </c>
      <c r="DR47" s="20">
        <f t="shared" si="68"/>
        <v>2.2385369452667772E-4</v>
      </c>
      <c r="DS47" s="20">
        <f t="shared" si="69"/>
        <v>8.8388218582732665E-5</v>
      </c>
      <c r="DT47" s="20">
        <f t="shared" si="70"/>
        <v>3.4899925153116278E-5</v>
      </c>
      <c r="DU47" s="20">
        <f t="shared" si="71"/>
        <v>1.3780171104512806E-5</v>
      </c>
      <c r="DV47" s="20">
        <f t="shared" si="72"/>
        <v>5.4410751552197585E-6</v>
      </c>
      <c r="DW47" s="20">
        <f t="shared" si="73"/>
        <v>2.1483984937643062E-6</v>
      </c>
      <c r="DX47" s="20">
        <f t="shared" si="74"/>
        <v>8.4829118443270635E-7</v>
      </c>
      <c r="DY47" s="20">
        <f t="shared" si="75"/>
        <v>3.3494621024677948E-7</v>
      </c>
      <c r="DZ47" s="20">
        <f t="shared" si="76"/>
        <v>1.3225289360245567E-7</v>
      </c>
      <c r="EA47" s="20">
        <f t="shared" si="77"/>
        <v>5.2219811214868452E-8</v>
      </c>
      <c r="EB47" s="20">
        <f t="shared" si="78"/>
        <v>2.0618896184709772E-8</v>
      </c>
      <c r="EC47" s="20">
        <f t="shared" si="79"/>
        <v>8.1413331451261602E-9</v>
      </c>
      <c r="ED47" s="20">
        <f t="shared" si="80"/>
        <v>3.2145903828295923E-9</v>
      </c>
      <c r="EE47" s="20">
        <f t="shared" si="81"/>
        <v>1.2692750861775935E-9</v>
      </c>
      <c r="EF47" s="24">
        <f t="shared" si="82"/>
        <v>36.620875384152697</v>
      </c>
    </row>
    <row r="48" spans="6:136" ht="15" customHeight="1" x14ac:dyDescent="0.25">
      <c r="F48" s="34"/>
      <c r="G48" s="16">
        <f t="shared" si="36"/>
        <v>300</v>
      </c>
      <c r="H48" s="17">
        <f t="shared" si="83"/>
        <v>118.45444691446514</v>
      </c>
      <c r="I48" s="17">
        <f t="shared" si="84"/>
        <v>46.771519980277262</v>
      </c>
      <c r="J48" s="17">
        <f t="shared" si="85"/>
        <v>18.467648438023144</v>
      </c>
      <c r="K48" s="17">
        <f t="shared" si="86"/>
        <v>7.2919169453029777</v>
      </c>
      <c r="L48" s="17">
        <f t="shared" si="87"/>
        <v>2.8791999797365877</v>
      </c>
      <c r="M48" s="17">
        <f t="shared" si="88"/>
        <v>1.1368468479330263</v>
      </c>
      <c r="N48" s="17">
        <f t="shared" si="89"/>
        <v>0.4488819936416657</v>
      </c>
      <c r="O48" s="17">
        <f t="shared" si="90"/>
        <v>0.17724051038538166</v>
      </c>
      <c r="P48" s="17">
        <f t="shared" si="91"/>
        <v>6.998380489437428E-2</v>
      </c>
      <c r="Q48" s="17">
        <f t="shared" si="92"/>
        <v>2.7634790030729509E-2</v>
      </c>
      <c r="R48" s="17">
        <f t="shared" si="93"/>
        <v>1.0916139285953969E-2</v>
      </c>
      <c r="S48" s="17">
        <f t="shared" si="94"/>
        <v>4.3218507802320468E-3</v>
      </c>
      <c r="T48" s="17">
        <f t="shared" si="42"/>
        <v>1.7359375522520962E-3</v>
      </c>
      <c r="U48" s="17">
        <f t="shared" si="43"/>
        <v>7.600496402729004E-4</v>
      </c>
      <c r="V48" s="17">
        <f t="shared" si="44"/>
        <v>4.8908291665620478E-4</v>
      </c>
      <c r="W48" s="17">
        <f t="shared" si="45"/>
        <v>6.7172460563384923E-4</v>
      </c>
      <c r="X48" s="17">
        <f t="shared" si="46"/>
        <v>1.4773689015013898E-3</v>
      </c>
      <c r="Y48" s="17">
        <f t="shared" si="47"/>
        <v>3.6532245447780669E-3</v>
      </c>
      <c r="Z48" s="17">
        <f t="shared" si="48"/>
        <v>9.2173264959345223E-3</v>
      </c>
      <c r="AA48" s="17">
        <f t="shared" si="49"/>
        <v>2.3330197373165804E-2</v>
      </c>
      <c r="AB48" s="17">
        <f t="shared" si="50"/>
        <v>5.9081063435972983E-2</v>
      </c>
      <c r="AC48" s="17">
        <f t="shared" si="51"/>
        <v>0.14962768393404643</v>
      </c>
      <c r="AD48" s="17">
        <f t="shared" si="52"/>
        <v>0.37894908858022486</v>
      </c>
      <c r="AE48" s="17">
        <f t="shared" si="53"/>
        <v>0.95973338156478072</v>
      </c>
      <c r="AF48" s="17">
        <f t="shared" si="54"/>
        <v>2.4306390034679204</v>
      </c>
      <c r="AG48" s="17">
        <f t="shared" si="55"/>
        <v>6.1558828212152665</v>
      </c>
      <c r="AH48" s="17">
        <f t="shared" si="56"/>
        <v>15.590506663395324</v>
      </c>
      <c r="AI48" s="17">
        <f t="shared" si="41"/>
        <v>39.484815639283291</v>
      </c>
      <c r="AJ48" s="16">
        <f t="shared" si="37"/>
        <v>100</v>
      </c>
      <c r="AN48" s="39"/>
      <c r="AO48" s="18">
        <f t="shared" si="4"/>
        <v>-1076400000</v>
      </c>
      <c r="AP48" s="19">
        <f t="shared" si="5"/>
        <v>0</v>
      </c>
      <c r="AQ48" s="19">
        <f t="shared" si="6"/>
        <v>0</v>
      </c>
      <c r="AR48" s="19">
        <f t="shared" si="7"/>
        <v>0</v>
      </c>
      <c r="AS48" s="19">
        <f t="shared" si="8"/>
        <v>0</v>
      </c>
      <c r="AT48" s="19">
        <f t="shared" si="9"/>
        <v>0</v>
      </c>
      <c r="AU48" s="19">
        <f t="shared" si="10"/>
        <v>0</v>
      </c>
      <c r="AV48" s="19">
        <f t="shared" si="11"/>
        <v>0</v>
      </c>
      <c r="AW48" s="19">
        <f t="shared" si="12"/>
        <v>0</v>
      </c>
      <c r="AX48" s="19">
        <f t="shared" si="13"/>
        <v>0</v>
      </c>
      <c r="AY48" s="19">
        <f t="shared" si="14"/>
        <v>0</v>
      </c>
      <c r="AZ48" s="19">
        <f t="shared" si="15"/>
        <v>0</v>
      </c>
      <c r="BA48" s="19">
        <f t="shared" si="16"/>
        <v>0</v>
      </c>
      <c r="BB48" s="19">
        <f t="shared" si="17"/>
        <v>0</v>
      </c>
      <c r="BC48" s="19">
        <f t="shared" si="18"/>
        <v>0</v>
      </c>
      <c r="BD48" s="19">
        <f t="shared" si="19"/>
        <v>0</v>
      </c>
      <c r="BE48" s="19">
        <f t="shared" si="20"/>
        <v>0</v>
      </c>
      <c r="BF48" s="19">
        <f t="shared" si="21"/>
        <v>0</v>
      </c>
      <c r="BG48" s="19">
        <f t="shared" si="22"/>
        <v>0</v>
      </c>
      <c r="BH48" s="19">
        <f t="shared" si="23"/>
        <v>0</v>
      </c>
      <c r="BI48" s="19">
        <f t="shared" si="24"/>
        <v>0</v>
      </c>
      <c r="BJ48" s="19">
        <f t="shared" si="25"/>
        <v>0</v>
      </c>
      <c r="BK48" s="19">
        <f t="shared" si="26"/>
        <v>0</v>
      </c>
      <c r="BL48" s="19">
        <f t="shared" si="27"/>
        <v>0</v>
      </c>
      <c r="BM48" s="19">
        <f t="shared" si="28"/>
        <v>0</v>
      </c>
      <c r="BN48" s="19">
        <f t="shared" si="29"/>
        <v>0</v>
      </c>
      <c r="BO48" s="19">
        <f t="shared" si="30"/>
        <v>0</v>
      </c>
      <c r="BP48" s="19">
        <f t="shared" si="31"/>
        <v>0</v>
      </c>
      <c r="BQ48" s="19">
        <f t="shared" si="32"/>
        <v>0</v>
      </c>
      <c r="BR48" s="18">
        <f t="shared" si="33"/>
        <v>-358800000</v>
      </c>
      <c r="BU48" s="37"/>
      <c r="BV48" s="24">
        <v>0</v>
      </c>
      <c r="BW48" s="20">
        <f t="shared" si="38"/>
        <v>0.3415922014622258</v>
      </c>
      <c r="BX48" s="20">
        <f t="shared" si="57"/>
        <v>0.3867162803971414</v>
      </c>
      <c r="BY48" s="20">
        <f t="shared" si="57"/>
        <v>0.39358441341045353</v>
      </c>
      <c r="BZ48" s="20">
        <f t="shared" si="57"/>
        <v>0.39465123071155611</v>
      </c>
      <c r="CA48" s="20">
        <f t="shared" si="57"/>
        <v>0.39481745705771337</v>
      </c>
      <c r="CB48" s="20">
        <f t="shared" si="57"/>
        <v>0.39484337025824801</v>
      </c>
      <c r="CC48" s="20">
        <f t="shared" si="57"/>
        <v>0.39484741020089792</v>
      </c>
      <c r="CD48" s="20">
        <f t="shared" si="57"/>
        <v>0.39484804004704999</v>
      </c>
      <c r="CE48" s="20">
        <f t="shared" si="57"/>
        <v>0.39484813824322279</v>
      </c>
      <c r="CF48" s="20">
        <f t="shared" si="57"/>
        <v>0.39484815355250286</v>
      </c>
      <c r="CG48" s="20">
        <f t="shared" si="57"/>
        <v>0.39484815593929717</v>
      </c>
      <c r="CH48" s="20">
        <f t="shared" si="57"/>
        <v>0.39484815631141046</v>
      </c>
      <c r="CI48" s="20">
        <f t="shared" si="57"/>
        <v>0.39484815636942483</v>
      </c>
      <c r="CJ48" s="20">
        <f t="shared" si="57"/>
        <v>0.39484815637846954</v>
      </c>
      <c r="CK48" s="20">
        <f t="shared" si="57"/>
        <v>0.39484815637987963</v>
      </c>
      <c r="CL48" s="20">
        <f t="shared" si="57"/>
        <v>0.39484815638009951</v>
      </c>
      <c r="CM48" s="20">
        <f t="shared" si="57"/>
        <v>0.39484815638013382</v>
      </c>
      <c r="CN48" s="20">
        <f t="shared" si="57"/>
        <v>0.39484815638013915</v>
      </c>
      <c r="CO48" s="20">
        <f t="shared" si="57"/>
        <v>0.39484815638013998</v>
      </c>
      <c r="CP48" s="20">
        <f t="shared" si="57"/>
        <v>0.39484815638014015</v>
      </c>
      <c r="CQ48" s="20">
        <f t="shared" si="57"/>
        <v>0.39484815638014015</v>
      </c>
      <c r="CR48" s="20">
        <f t="shared" si="57"/>
        <v>0.39484815638014015</v>
      </c>
      <c r="CS48" s="20">
        <f t="shared" si="57"/>
        <v>0.39484815638014015</v>
      </c>
      <c r="CT48" s="20">
        <f t="shared" si="57"/>
        <v>0.39484815638014015</v>
      </c>
      <c r="CU48" s="20">
        <f t="shared" si="57"/>
        <v>0.39484815638014015</v>
      </c>
      <c r="CV48" s="20">
        <f t="shared" si="57"/>
        <v>0.39484815638014015</v>
      </c>
      <c r="CW48" s="20">
        <f t="shared" si="57"/>
        <v>0.39484815638014015</v>
      </c>
      <c r="CX48" s="20">
        <f t="shared" si="57"/>
        <v>0.39484815638014015</v>
      </c>
      <c r="CY48" s="24">
        <f t="shared" si="57"/>
        <v>0.39484815638014015</v>
      </c>
      <c r="DB48" s="37"/>
      <c r="DC48" s="16">
        <f t="shared" si="39"/>
        <v>300</v>
      </c>
      <c r="DD48" s="20">
        <f t="shared" si="40"/>
        <v>102.47766043866774</v>
      </c>
      <c r="DE48" s="20">
        <f t="shared" si="95"/>
        <v>39.629779668642875</v>
      </c>
      <c r="DF48" s="20">
        <f t="shared" si="96"/>
        <v>15.597663584468325</v>
      </c>
      <c r="DG48" s="20">
        <f t="shared" si="97"/>
        <v>6.1556371298352461</v>
      </c>
      <c r="DH48" s="20">
        <f t="shared" si="58"/>
        <v>2.4303529981715934</v>
      </c>
      <c r="DI48" s="20">
        <f t="shared" si="59"/>
        <v>0.95960876871530965</v>
      </c>
      <c r="DJ48" s="20">
        <f t="shared" si="60"/>
        <v>0.37889903713331241</v>
      </c>
      <c r="DK48" s="20">
        <f t="shared" si="61"/>
        <v>0.14960754218780284</v>
      </c>
      <c r="DL48" s="20">
        <f t="shared" si="62"/>
        <v>5.9072259499998357E-2</v>
      </c>
      <c r="DM48" s="20">
        <f t="shared" si="63"/>
        <v>2.3324572589748647E-2</v>
      </c>
      <c r="DN48" s="20">
        <f t="shared" si="64"/>
        <v>9.2096644751345318E-3</v>
      </c>
      <c r="DO48" s="20">
        <f t="shared" si="65"/>
        <v>3.6364190382535641E-3</v>
      </c>
      <c r="DP48" s="20">
        <f t="shared" si="66"/>
        <v>1.4358333530410969E-3</v>
      </c>
      <c r="DQ48" s="20">
        <f t="shared" si="67"/>
        <v>5.6693615231499328E-4</v>
      </c>
      <c r="DR48" s="20">
        <f t="shared" si="68"/>
        <v>2.2385369452667772E-4</v>
      </c>
      <c r="DS48" s="20">
        <f t="shared" si="69"/>
        <v>8.8388218582732665E-5</v>
      </c>
      <c r="DT48" s="20">
        <f t="shared" si="70"/>
        <v>3.4899925153116278E-5</v>
      </c>
      <c r="DU48" s="20">
        <f t="shared" si="71"/>
        <v>1.3780171104512806E-5</v>
      </c>
      <c r="DV48" s="20">
        <f t="shared" si="72"/>
        <v>5.4410751552197585E-6</v>
      </c>
      <c r="DW48" s="20">
        <f t="shared" si="73"/>
        <v>2.1483984937643062E-6</v>
      </c>
      <c r="DX48" s="20">
        <f t="shared" si="74"/>
        <v>8.4829118443270635E-7</v>
      </c>
      <c r="DY48" s="20">
        <f t="shared" si="75"/>
        <v>3.3494621024677948E-7</v>
      </c>
      <c r="DZ48" s="20">
        <f t="shared" si="76"/>
        <v>1.3225289360245567E-7</v>
      </c>
      <c r="EA48" s="20">
        <f t="shared" si="77"/>
        <v>5.2219811214868452E-8</v>
      </c>
      <c r="EB48" s="20">
        <f t="shared" si="78"/>
        <v>2.0618896184709772E-8</v>
      </c>
      <c r="EC48" s="20">
        <f t="shared" si="79"/>
        <v>8.1413331451261602E-9</v>
      </c>
      <c r="ED48" s="20">
        <f t="shared" si="80"/>
        <v>3.2145903828295923E-9</v>
      </c>
      <c r="EE48" s="20">
        <f t="shared" si="81"/>
        <v>1.2692750861775935E-9</v>
      </c>
      <c r="EF48" s="24">
        <f t="shared" si="82"/>
        <v>36.620875384152697</v>
      </c>
    </row>
    <row r="49" spans="6:136" ht="15" customHeight="1" x14ac:dyDescent="0.25">
      <c r="F49" s="34"/>
      <c r="G49" s="16">
        <f t="shared" si="36"/>
        <v>300</v>
      </c>
      <c r="H49" s="17">
        <f t="shared" si="83"/>
        <v>118.45444691446514</v>
      </c>
      <c r="I49" s="17">
        <f t="shared" si="84"/>
        <v>46.771519980277262</v>
      </c>
      <c r="J49" s="17">
        <f t="shared" si="85"/>
        <v>18.467648438023144</v>
      </c>
      <c r="K49" s="17">
        <f t="shared" si="86"/>
        <v>7.2919169453029777</v>
      </c>
      <c r="L49" s="17">
        <f t="shared" si="87"/>
        <v>2.8791999797365877</v>
      </c>
      <c r="M49" s="17">
        <f t="shared" si="88"/>
        <v>1.1368468479330263</v>
      </c>
      <c r="N49" s="17">
        <f t="shared" si="89"/>
        <v>0.4488819936416657</v>
      </c>
      <c r="O49" s="17">
        <f t="shared" si="90"/>
        <v>0.17724051038538166</v>
      </c>
      <c r="P49" s="17">
        <f t="shared" si="91"/>
        <v>6.998380489437428E-2</v>
      </c>
      <c r="Q49" s="17">
        <f t="shared" si="92"/>
        <v>2.7634790030729509E-2</v>
      </c>
      <c r="R49" s="17">
        <f t="shared" si="93"/>
        <v>1.0916139285953969E-2</v>
      </c>
      <c r="S49" s="17">
        <f t="shared" si="94"/>
        <v>4.3218507802320468E-3</v>
      </c>
      <c r="T49" s="17">
        <f t="shared" si="42"/>
        <v>1.7359375522520962E-3</v>
      </c>
      <c r="U49" s="17">
        <f t="shared" si="43"/>
        <v>7.600496402729004E-4</v>
      </c>
      <c r="V49" s="17">
        <f t="shared" si="44"/>
        <v>4.8908291665620478E-4</v>
      </c>
      <c r="W49" s="17">
        <f t="shared" si="45"/>
        <v>6.7172460563384923E-4</v>
      </c>
      <c r="X49" s="17">
        <f t="shared" si="46"/>
        <v>1.4773689015013898E-3</v>
      </c>
      <c r="Y49" s="17">
        <f t="shared" si="47"/>
        <v>3.6532245447780669E-3</v>
      </c>
      <c r="Z49" s="17">
        <f t="shared" si="48"/>
        <v>9.2173264959345223E-3</v>
      </c>
      <c r="AA49" s="17">
        <f t="shared" si="49"/>
        <v>2.3330197373165804E-2</v>
      </c>
      <c r="AB49" s="17">
        <f t="shared" si="50"/>
        <v>5.9081063435972983E-2</v>
      </c>
      <c r="AC49" s="17">
        <f t="shared" si="51"/>
        <v>0.14962768393404643</v>
      </c>
      <c r="AD49" s="17">
        <f t="shared" si="52"/>
        <v>0.37894908858022486</v>
      </c>
      <c r="AE49" s="17">
        <f t="shared" si="53"/>
        <v>0.95973338156478072</v>
      </c>
      <c r="AF49" s="17">
        <f t="shared" si="54"/>
        <v>2.4306390034679204</v>
      </c>
      <c r="AG49" s="17">
        <f t="shared" si="55"/>
        <v>6.1558828212152665</v>
      </c>
      <c r="AH49" s="17">
        <f t="shared" si="56"/>
        <v>15.590506663395324</v>
      </c>
      <c r="AI49" s="17">
        <f t="shared" si="41"/>
        <v>39.484815639283291</v>
      </c>
      <c r="AJ49" s="16">
        <f t="shared" si="37"/>
        <v>100</v>
      </c>
      <c r="AN49" s="39"/>
      <c r="AO49" s="18">
        <f t="shared" si="4"/>
        <v>-1076400000</v>
      </c>
      <c r="AP49" s="19">
        <f t="shared" si="5"/>
        <v>0</v>
      </c>
      <c r="AQ49" s="19">
        <f t="shared" si="6"/>
        <v>0</v>
      </c>
      <c r="AR49" s="19">
        <f t="shared" si="7"/>
        <v>0</v>
      </c>
      <c r="AS49" s="19">
        <f t="shared" si="8"/>
        <v>0</v>
      </c>
      <c r="AT49" s="19">
        <f t="shared" si="9"/>
        <v>0</v>
      </c>
      <c r="AU49" s="19">
        <f t="shared" si="10"/>
        <v>0</v>
      </c>
      <c r="AV49" s="19">
        <f t="shared" si="11"/>
        <v>0</v>
      </c>
      <c r="AW49" s="19">
        <f t="shared" si="12"/>
        <v>0</v>
      </c>
      <c r="AX49" s="19">
        <f t="shared" si="13"/>
        <v>0</v>
      </c>
      <c r="AY49" s="19">
        <f t="shared" si="14"/>
        <v>0</v>
      </c>
      <c r="AZ49" s="19">
        <f t="shared" si="15"/>
        <v>0</v>
      </c>
      <c r="BA49" s="19">
        <f t="shared" si="16"/>
        <v>0</v>
      </c>
      <c r="BB49" s="19">
        <f t="shared" si="17"/>
        <v>0</v>
      </c>
      <c r="BC49" s="19">
        <f t="shared" si="18"/>
        <v>0</v>
      </c>
      <c r="BD49" s="19">
        <f t="shared" si="19"/>
        <v>0</v>
      </c>
      <c r="BE49" s="19">
        <f t="shared" si="20"/>
        <v>0</v>
      </c>
      <c r="BF49" s="19">
        <f t="shared" si="21"/>
        <v>0</v>
      </c>
      <c r="BG49" s="19">
        <f t="shared" si="22"/>
        <v>0</v>
      </c>
      <c r="BH49" s="19">
        <f t="shared" si="23"/>
        <v>0</v>
      </c>
      <c r="BI49" s="19">
        <f t="shared" si="24"/>
        <v>0</v>
      </c>
      <c r="BJ49" s="19">
        <f t="shared" si="25"/>
        <v>0</v>
      </c>
      <c r="BK49" s="19">
        <f t="shared" si="26"/>
        <v>0</v>
      </c>
      <c r="BL49" s="19">
        <f t="shared" si="27"/>
        <v>0</v>
      </c>
      <c r="BM49" s="19">
        <f t="shared" si="28"/>
        <v>0</v>
      </c>
      <c r="BN49" s="19">
        <f t="shared" si="29"/>
        <v>0</v>
      </c>
      <c r="BO49" s="19">
        <f t="shared" si="30"/>
        <v>0</v>
      </c>
      <c r="BP49" s="19">
        <f t="shared" si="31"/>
        <v>0</v>
      </c>
      <c r="BQ49" s="19">
        <f t="shared" si="32"/>
        <v>0</v>
      </c>
      <c r="BR49" s="18">
        <f t="shared" si="33"/>
        <v>-358800000</v>
      </c>
      <c r="BU49" s="37"/>
      <c r="BV49" s="24">
        <v>0</v>
      </c>
      <c r="BW49" s="20">
        <f t="shared" si="38"/>
        <v>0.3415922014622258</v>
      </c>
      <c r="BX49" s="20">
        <f t="shared" si="57"/>
        <v>0.3867162803971414</v>
      </c>
      <c r="BY49" s="20">
        <f t="shared" si="57"/>
        <v>0.39358441341045353</v>
      </c>
      <c r="BZ49" s="20">
        <f t="shared" si="57"/>
        <v>0.39465123071155611</v>
      </c>
      <c r="CA49" s="20">
        <f t="shared" si="57"/>
        <v>0.39481745705771337</v>
      </c>
      <c r="CB49" s="20">
        <f t="shared" si="57"/>
        <v>0.39484337025824801</v>
      </c>
      <c r="CC49" s="20">
        <f t="shared" si="57"/>
        <v>0.39484741020089792</v>
      </c>
      <c r="CD49" s="20">
        <f t="shared" si="57"/>
        <v>0.39484804004704999</v>
      </c>
      <c r="CE49" s="20">
        <f t="shared" si="57"/>
        <v>0.39484813824322279</v>
      </c>
      <c r="CF49" s="20">
        <f t="shared" si="57"/>
        <v>0.39484815355250286</v>
      </c>
      <c r="CG49" s="20">
        <f t="shared" si="57"/>
        <v>0.39484815593929717</v>
      </c>
      <c r="CH49" s="20">
        <f t="shared" si="57"/>
        <v>0.39484815631141046</v>
      </c>
      <c r="CI49" s="20">
        <f t="shared" si="57"/>
        <v>0.39484815636942483</v>
      </c>
      <c r="CJ49" s="20">
        <f t="shared" si="57"/>
        <v>0.39484815637846954</v>
      </c>
      <c r="CK49" s="20">
        <f t="shared" si="57"/>
        <v>0.39484815637987963</v>
      </c>
      <c r="CL49" s="20">
        <f t="shared" si="57"/>
        <v>0.39484815638009951</v>
      </c>
      <c r="CM49" s="20">
        <f t="shared" si="57"/>
        <v>0.39484815638013382</v>
      </c>
      <c r="CN49" s="20">
        <f t="shared" si="57"/>
        <v>0.39484815638013915</v>
      </c>
      <c r="CO49" s="20">
        <f t="shared" si="57"/>
        <v>0.39484815638013998</v>
      </c>
      <c r="CP49" s="20">
        <f t="shared" si="57"/>
        <v>0.39484815638014015</v>
      </c>
      <c r="CQ49" s="20">
        <f t="shared" si="57"/>
        <v>0.39484815638014015</v>
      </c>
      <c r="CR49" s="20">
        <f t="shared" si="57"/>
        <v>0.39484815638014015</v>
      </c>
      <c r="CS49" s="20">
        <f t="shared" si="57"/>
        <v>0.39484815638014015</v>
      </c>
      <c r="CT49" s="20">
        <f t="shared" si="57"/>
        <v>0.39484815638014015</v>
      </c>
      <c r="CU49" s="20">
        <f t="shared" si="57"/>
        <v>0.39484815638014015</v>
      </c>
      <c r="CV49" s="20">
        <f t="shared" si="57"/>
        <v>0.39484815638014015</v>
      </c>
      <c r="CW49" s="20">
        <f t="shared" si="57"/>
        <v>0.39484815638014015</v>
      </c>
      <c r="CX49" s="20">
        <f t="shared" si="57"/>
        <v>0.39484815638014015</v>
      </c>
      <c r="CY49" s="24">
        <f t="shared" si="57"/>
        <v>0.39484815638014015</v>
      </c>
      <c r="DB49" s="37"/>
      <c r="DC49" s="16">
        <f t="shared" si="39"/>
        <v>300</v>
      </c>
      <c r="DD49" s="20">
        <f t="shared" si="40"/>
        <v>102.47766043866774</v>
      </c>
      <c r="DE49" s="20">
        <f t="shared" si="95"/>
        <v>39.629779668642875</v>
      </c>
      <c r="DF49" s="20">
        <f t="shared" si="96"/>
        <v>15.597663584468325</v>
      </c>
      <c r="DG49" s="20">
        <f t="shared" si="97"/>
        <v>6.1556371298352461</v>
      </c>
      <c r="DH49" s="20">
        <f t="shared" si="58"/>
        <v>2.4303529981715934</v>
      </c>
      <c r="DI49" s="20">
        <f t="shared" si="59"/>
        <v>0.95960876871530965</v>
      </c>
      <c r="DJ49" s="20">
        <f t="shared" si="60"/>
        <v>0.37889903713331241</v>
      </c>
      <c r="DK49" s="20">
        <f t="shared" si="61"/>
        <v>0.14960754218780284</v>
      </c>
      <c r="DL49" s="20">
        <f t="shared" si="62"/>
        <v>5.9072259499998357E-2</v>
      </c>
      <c r="DM49" s="20">
        <f t="shared" si="63"/>
        <v>2.3324572589748647E-2</v>
      </c>
      <c r="DN49" s="20">
        <f t="shared" si="64"/>
        <v>9.2096644751345318E-3</v>
      </c>
      <c r="DO49" s="20">
        <f t="shared" si="65"/>
        <v>3.6364190382535641E-3</v>
      </c>
      <c r="DP49" s="20">
        <f t="shared" si="66"/>
        <v>1.4358333530410969E-3</v>
      </c>
      <c r="DQ49" s="20">
        <f t="shared" si="67"/>
        <v>5.6693615231499328E-4</v>
      </c>
      <c r="DR49" s="20">
        <f t="shared" si="68"/>
        <v>2.2385369452667772E-4</v>
      </c>
      <c r="DS49" s="20">
        <f t="shared" si="69"/>
        <v>8.8388218582732665E-5</v>
      </c>
      <c r="DT49" s="20">
        <f t="shared" si="70"/>
        <v>3.4899925153116278E-5</v>
      </c>
      <c r="DU49" s="20">
        <f t="shared" si="71"/>
        <v>1.3780171104512806E-5</v>
      </c>
      <c r="DV49" s="20">
        <f t="shared" si="72"/>
        <v>5.4410751552197585E-6</v>
      </c>
      <c r="DW49" s="20">
        <f t="shared" si="73"/>
        <v>2.1483984937643062E-6</v>
      </c>
      <c r="DX49" s="20">
        <f t="shared" si="74"/>
        <v>8.4829118443270635E-7</v>
      </c>
      <c r="DY49" s="20">
        <f t="shared" si="75"/>
        <v>3.3494621024677948E-7</v>
      </c>
      <c r="DZ49" s="20">
        <f t="shared" si="76"/>
        <v>1.3225289360245567E-7</v>
      </c>
      <c r="EA49" s="20">
        <f t="shared" si="77"/>
        <v>5.2219811214868452E-8</v>
      </c>
      <c r="EB49" s="20">
        <f t="shared" si="78"/>
        <v>2.0618896184709772E-8</v>
      </c>
      <c r="EC49" s="20">
        <f t="shared" si="79"/>
        <v>8.1413331451261602E-9</v>
      </c>
      <c r="ED49" s="20">
        <f t="shared" si="80"/>
        <v>3.2145903828295923E-9</v>
      </c>
      <c r="EE49" s="20">
        <f t="shared" si="81"/>
        <v>1.2692750861775935E-9</v>
      </c>
      <c r="EF49" s="24">
        <f t="shared" si="82"/>
        <v>36.620875384152697</v>
      </c>
    </row>
    <row r="50" spans="6:136" ht="15" customHeight="1" x14ac:dyDescent="0.25">
      <c r="F50" s="34"/>
      <c r="G50" s="16">
        <f t="shared" si="36"/>
        <v>300</v>
      </c>
      <c r="H50" s="17">
        <f t="shared" si="83"/>
        <v>118.45444691446514</v>
      </c>
      <c r="I50" s="17">
        <f t="shared" si="84"/>
        <v>46.771519980277262</v>
      </c>
      <c r="J50" s="17">
        <f t="shared" si="85"/>
        <v>18.467648438023144</v>
      </c>
      <c r="K50" s="17">
        <f t="shared" si="86"/>
        <v>7.2919169453029777</v>
      </c>
      <c r="L50" s="17">
        <f t="shared" si="87"/>
        <v>2.8791999797365877</v>
      </c>
      <c r="M50" s="17">
        <f t="shared" si="88"/>
        <v>1.1368468479330263</v>
      </c>
      <c r="N50" s="17">
        <f t="shared" si="89"/>
        <v>0.4488819936416657</v>
      </c>
      <c r="O50" s="17">
        <f t="shared" si="90"/>
        <v>0.17724051038538166</v>
      </c>
      <c r="P50" s="17">
        <f t="shared" si="91"/>
        <v>6.998380489437428E-2</v>
      </c>
      <c r="Q50" s="17">
        <f t="shared" si="92"/>
        <v>2.7634790030729509E-2</v>
      </c>
      <c r="R50" s="17">
        <f t="shared" si="93"/>
        <v>1.0916139285953969E-2</v>
      </c>
      <c r="S50" s="17">
        <f t="shared" si="94"/>
        <v>4.3218507802320468E-3</v>
      </c>
      <c r="T50" s="17">
        <f t="shared" si="42"/>
        <v>1.7359375522520962E-3</v>
      </c>
      <c r="U50" s="17">
        <f t="shared" si="43"/>
        <v>7.600496402729004E-4</v>
      </c>
      <c r="V50" s="17">
        <f t="shared" si="44"/>
        <v>4.8908291665620478E-4</v>
      </c>
      <c r="W50" s="17">
        <f t="shared" si="45"/>
        <v>6.7172460563384923E-4</v>
      </c>
      <c r="X50" s="17">
        <f t="shared" si="46"/>
        <v>1.4773689015013898E-3</v>
      </c>
      <c r="Y50" s="17">
        <f t="shared" si="47"/>
        <v>3.6532245447780669E-3</v>
      </c>
      <c r="Z50" s="17">
        <f t="shared" si="48"/>
        <v>9.2173264959345223E-3</v>
      </c>
      <c r="AA50" s="17">
        <f t="shared" si="49"/>
        <v>2.3330197373165804E-2</v>
      </c>
      <c r="AB50" s="17">
        <f t="shared" si="50"/>
        <v>5.9081063435972983E-2</v>
      </c>
      <c r="AC50" s="17">
        <f t="shared" si="51"/>
        <v>0.14962768393404643</v>
      </c>
      <c r="AD50" s="17">
        <f t="shared" si="52"/>
        <v>0.37894908858022486</v>
      </c>
      <c r="AE50" s="17">
        <f t="shared" si="53"/>
        <v>0.95973338156478072</v>
      </c>
      <c r="AF50" s="17">
        <f t="shared" si="54"/>
        <v>2.4306390034679204</v>
      </c>
      <c r="AG50" s="17">
        <f t="shared" si="55"/>
        <v>6.1558828212152665</v>
      </c>
      <c r="AH50" s="17">
        <f t="shared" si="56"/>
        <v>15.590506663395324</v>
      </c>
      <c r="AI50" s="17">
        <f t="shared" si="41"/>
        <v>39.484815639283291</v>
      </c>
      <c r="AJ50" s="16">
        <f t="shared" si="37"/>
        <v>100</v>
      </c>
      <c r="AN50" s="39"/>
      <c r="AO50" s="18">
        <f t="shared" si="4"/>
        <v>-1076400000</v>
      </c>
      <c r="AP50" s="19">
        <f t="shared" si="5"/>
        <v>0</v>
      </c>
      <c r="AQ50" s="19">
        <f t="shared" si="6"/>
        <v>0</v>
      </c>
      <c r="AR50" s="19">
        <f t="shared" si="7"/>
        <v>0</v>
      </c>
      <c r="AS50" s="19">
        <f t="shared" si="8"/>
        <v>0</v>
      </c>
      <c r="AT50" s="19">
        <f t="shared" si="9"/>
        <v>0</v>
      </c>
      <c r="AU50" s="19">
        <f t="shared" si="10"/>
        <v>0</v>
      </c>
      <c r="AV50" s="19">
        <f t="shared" si="11"/>
        <v>0</v>
      </c>
      <c r="AW50" s="19">
        <f t="shared" si="12"/>
        <v>0</v>
      </c>
      <c r="AX50" s="19">
        <f t="shared" si="13"/>
        <v>0</v>
      </c>
      <c r="AY50" s="19">
        <f t="shared" si="14"/>
        <v>0</v>
      </c>
      <c r="AZ50" s="19">
        <f t="shared" si="15"/>
        <v>0</v>
      </c>
      <c r="BA50" s="19">
        <f t="shared" si="16"/>
        <v>0</v>
      </c>
      <c r="BB50" s="19">
        <f t="shared" si="17"/>
        <v>0</v>
      </c>
      <c r="BC50" s="19">
        <f t="shared" si="18"/>
        <v>0</v>
      </c>
      <c r="BD50" s="19">
        <f t="shared" si="19"/>
        <v>0</v>
      </c>
      <c r="BE50" s="19">
        <f t="shared" si="20"/>
        <v>0</v>
      </c>
      <c r="BF50" s="19">
        <f t="shared" si="21"/>
        <v>0</v>
      </c>
      <c r="BG50" s="19">
        <f t="shared" si="22"/>
        <v>0</v>
      </c>
      <c r="BH50" s="19">
        <f t="shared" si="23"/>
        <v>0</v>
      </c>
      <c r="BI50" s="19">
        <f t="shared" si="24"/>
        <v>0</v>
      </c>
      <c r="BJ50" s="19">
        <f t="shared" si="25"/>
        <v>0</v>
      </c>
      <c r="BK50" s="19">
        <f t="shared" si="26"/>
        <v>0</v>
      </c>
      <c r="BL50" s="19">
        <f t="shared" si="27"/>
        <v>0</v>
      </c>
      <c r="BM50" s="19">
        <f t="shared" si="28"/>
        <v>0</v>
      </c>
      <c r="BN50" s="19">
        <f t="shared" si="29"/>
        <v>0</v>
      </c>
      <c r="BO50" s="19">
        <f t="shared" si="30"/>
        <v>0</v>
      </c>
      <c r="BP50" s="19">
        <f t="shared" si="31"/>
        <v>0</v>
      </c>
      <c r="BQ50" s="19">
        <f t="shared" si="32"/>
        <v>0</v>
      </c>
      <c r="BR50" s="18">
        <f t="shared" si="33"/>
        <v>-358800000</v>
      </c>
      <c r="BU50" s="37"/>
      <c r="BV50" s="24">
        <v>0</v>
      </c>
      <c r="BW50" s="20">
        <f t="shared" si="38"/>
        <v>0.3415922014622258</v>
      </c>
      <c r="BX50" s="20">
        <f t="shared" si="57"/>
        <v>0.3867162803971414</v>
      </c>
      <c r="BY50" s="20">
        <f t="shared" si="57"/>
        <v>0.39358441341045353</v>
      </c>
      <c r="BZ50" s="20">
        <f t="shared" si="57"/>
        <v>0.39465123071155611</v>
      </c>
      <c r="CA50" s="20">
        <f t="shared" si="57"/>
        <v>0.39481745705771337</v>
      </c>
      <c r="CB50" s="20">
        <f t="shared" si="57"/>
        <v>0.39484337025824801</v>
      </c>
      <c r="CC50" s="20">
        <f t="shared" si="57"/>
        <v>0.39484741020089792</v>
      </c>
      <c r="CD50" s="20">
        <f t="shared" si="57"/>
        <v>0.39484804004704999</v>
      </c>
      <c r="CE50" s="20">
        <f t="shared" si="57"/>
        <v>0.39484813824322279</v>
      </c>
      <c r="CF50" s="20">
        <f t="shared" si="57"/>
        <v>0.39484815355250286</v>
      </c>
      <c r="CG50" s="20">
        <f t="shared" si="57"/>
        <v>0.39484815593929717</v>
      </c>
      <c r="CH50" s="20">
        <f t="shared" si="57"/>
        <v>0.39484815631141046</v>
      </c>
      <c r="CI50" s="20">
        <f t="shared" si="57"/>
        <v>0.39484815636942483</v>
      </c>
      <c r="CJ50" s="20">
        <f t="shared" si="57"/>
        <v>0.39484815637846954</v>
      </c>
      <c r="CK50" s="20">
        <f t="shared" si="57"/>
        <v>0.39484815637987963</v>
      </c>
      <c r="CL50" s="20">
        <f t="shared" si="57"/>
        <v>0.39484815638009951</v>
      </c>
      <c r="CM50" s="20">
        <f t="shared" si="57"/>
        <v>0.39484815638013382</v>
      </c>
      <c r="CN50" s="20">
        <f t="shared" si="57"/>
        <v>0.39484815638013915</v>
      </c>
      <c r="CO50" s="20">
        <f t="shared" si="57"/>
        <v>0.39484815638013998</v>
      </c>
      <c r="CP50" s="20">
        <f t="shared" si="57"/>
        <v>0.39484815638014015</v>
      </c>
      <c r="CQ50" s="20">
        <f t="shared" si="57"/>
        <v>0.39484815638014015</v>
      </c>
      <c r="CR50" s="20">
        <f t="shared" si="57"/>
        <v>0.39484815638014015</v>
      </c>
      <c r="CS50" s="20">
        <f t="shared" si="57"/>
        <v>0.39484815638014015</v>
      </c>
      <c r="CT50" s="20">
        <f t="shared" si="57"/>
        <v>0.39484815638014015</v>
      </c>
      <c r="CU50" s="20">
        <f t="shared" si="57"/>
        <v>0.39484815638014015</v>
      </c>
      <c r="CV50" s="20">
        <f t="shared" si="57"/>
        <v>0.39484815638014015</v>
      </c>
      <c r="CW50" s="20">
        <f t="shared" si="57"/>
        <v>0.39484815638014015</v>
      </c>
      <c r="CX50" s="20">
        <f t="shared" si="57"/>
        <v>0.39484815638014015</v>
      </c>
      <c r="CY50" s="24">
        <f t="shared" si="57"/>
        <v>0.39484815638014015</v>
      </c>
      <c r="DB50" s="37"/>
      <c r="DC50" s="16">
        <f t="shared" si="39"/>
        <v>300</v>
      </c>
      <c r="DD50" s="20">
        <f t="shared" si="40"/>
        <v>102.47766043866774</v>
      </c>
      <c r="DE50" s="20">
        <f t="shared" si="95"/>
        <v>39.629779668642875</v>
      </c>
      <c r="DF50" s="20">
        <f t="shared" si="96"/>
        <v>15.597663584468325</v>
      </c>
      <c r="DG50" s="20">
        <f t="shared" si="97"/>
        <v>6.1556371298352461</v>
      </c>
      <c r="DH50" s="20">
        <f t="shared" si="58"/>
        <v>2.4303529981715934</v>
      </c>
      <c r="DI50" s="20">
        <f t="shared" si="59"/>
        <v>0.95960876871530965</v>
      </c>
      <c r="DJ50" s="20">
        <f t="shared" si="60"/>
        <v>0.37889903713331241</v>
      </c>
      <c r="DK50" s="20">
        <f t="shared" si="61"/>
        <v>0.14960754218780284</v>
      </c>
      <c r="DL50" s="20">
        <f t="shared" si="62"/>
        <v>5.9072259499998357E-2</v>
      </c>
      <c r="DM50" s="20">
        <f t="shared" si="63"/>
        <v>2.3324572589748647E-2</v>
      </c>
      <c r="DN50" s="20">
        <f t="shared" si="64"/>
        <v>9.2096644751345318E-3</v>
      </c>
      <c r="DO50" s="20">
        <f t="shared" si="65"/>
        <v>3.6364190382535641E-3</v>
      </c>
      <c r="DP50" s="20">
        <f t="shared" si="66"/>
        <v>1.4358333530410969E-3</v>
      </c>
      <c r="DQ50" s="20">
        <f t="shared" si="67"/>
        <v>5.6693615231499328E-4</v>
      </c>
      <c r="DR50" s="20">
        <f t="shared" si="68"/>
        <v>2.2385369452667772E-4</v>
      </c>
      <c r="DS50" s="20">
        <f t="shared" si="69"/>
        <v>8.8388218582732665E-5</v>
      </c>
      <c r="DT50" s="20">
        <f t="shared" si="70"/>
        <v>3.4899925153116278E-5</v>
      </c>
      <c r="DU50" s="20">
        <f t="shared" si="71"/>
        <v>1.3780171104512806E-5</v>
      </c>
      <c r="DV50" s="20">
        <f t="shared" si="72"/>
        <v>5.4410751552197585E-6</v>
      </c>
      <c r="DW50" s="20">
        <f t="shared" si="73"/>
        <v>2.1483984937643062E-6</v>
      </c>
      <c r="DX50" s="20">
        <f t="shared" si="74"/>
        <v>8.4829118443270635E-7</v>
      </c>
      <c r="DY50" s="20">
        <f t="shared" si="75"/>
        <v>3.3494621024677948E-7</v>
      </c>
      <c r="DZ50" s="20">
        <f t="shared" si="76"/>
        <v>1.3225289360245567E-7</v>
      </c>
      <c r="EA50" s="20">
        <f t="shared" si="77"/>
        <v>5.2219811214868452E-8</v>
      </c>
      <c r="EB50" s="20">
        <f t="shared" si="78"/>
        <v>2.0618896184709772E-8</v>
      </c>
      <c r="EC50" s="20">
        <f t="shared" si="79"/>
        <v>8.1413331451261602E-9</v>
      </c>
      <c r="ED50" s="20">
        <f t="shared" si="80"/>
        <v>3.2145903828295923E-9</v>
      </c>
      <c r="EE50" s="20">
        <f t="shared" si="81"/>
        <v>1.2692750861775935E-9</v>
      </c>
      <c r="EF50" s="24">
        <f t="shared" si="82"/>
        <v>36.620875384152697</v>
      </c>
    </row>
    <row r="51" spans="6:136" ht="15" customHeight="1" x14ac:dyDescent="0.25">
      <c r="F51" s="34"/>
      <c r="G51" s="16">
        <f t="shared" si="36"/>
        <v>300</v>
      </c>
      <c r="H51" s="17">
        <f t="shared" si="83"/>
        <v>118.45444691446514</v>
      </c>
      <c r="I51" s="17">
        <f t="shared" si="84"/>
        <v>46.771519980277262</v>
      </c>
      <c r="J51" s="17">
        <f t="shared" si="85"/>
        <v>18.467648438023144</v>
      </c>
      <c r="K51" s="17">
        <f t="shared" si="86"/>
        <v>7.2919169453029777</v>
      </c>
      <c r="L51" s="17">
        <f t="shared" si="87"/>
        <v>2.8791999797365877</v>
      </c>
      <c r="M51" s="17">
        <f t="shared" si="88"/>
        <v>1.1368468479330263</v>
      </c>
      <c r="N51" s="17">
        <f t="shared" si="89"/>
        <v>0.4488819936416657</v>
      </c>
      <c r="O51" s="17">
        <f t="shared" si="90"/>
        <v>0.17724051038538166</v>
      </c>
      <c r="P51" s="17">
        <f t="shared" si="91"/>
        <v>6.998380489437428E-2</v>
      </c>
      <c r="Q51" s="17">
        <f t="shared" si="92"/>
        <v>2.7634790030729509E-2</v>
      </c>
      <c r="R51" s="17">
        <f t="shared" si="93"/>
        <v>1.0916139285953969E-2</v>
      </c>
      <c r="S51" s="17">
        <f t="shared" si="94"/>
        <v>4.3218507802320468E-3</v>
      </c>
      <c r="T51" s="17">
        <f t="shared" si="42"/>
        <v>1.7359375522520962E-3</v>
      </c>
      <c r="U51" s="17">
        <f t="shared" si="43"/>
        <v>7.600496402729004E-4</v>
      </c>
      <c r="V51" s="17">
        <f t="shared" si="44"/>
        <v>4.8908291665620478E-4</v>
      </c>
      <c r="W51" s="17">
        <f t="shared" si="45"/>
        <v>6.7172460563384923E-4</v>
      </c>
      <c r="X51" s="17">
        <f t="shared" si="46"/>
        <v>1.4773689015013898E-3</v>
      </c>
      <c r="Y51" s="17">
        <f t="shared" si="47"/>
        <v>3.6532245447780669E-3</v>
      </c>
      <c r="Z51" s="17">
        <f t="shared" si="48"/>
        <v>9.2173264959345223E-3</v>
      </c>
      <c r="AA51" s="17">
        <f t="shared" si="49"/>
        <v>2.3330197373165804E-2</v>
      </c>
      <c r="AB51" s="17">
        <f t="shared" si="50"/>
        <v>5.9081063435972983E-2</v>
      </c>
      <c r="AC51" s="17">
        <f t="shared" si="51"/>
        <v>0.14962768393404643</v>
      </c>
      <c r="AD51" s="17">
        <f t="shared" si="52"/>
        <v>0.37894908858022486</v>
      </c>
      <c r="AE51" s="17">
        <f t="shared" si="53"/>
        <v>0.95973338156478072</v>
      </c>
      <c r="AF51" s="17">
        <f t="shared" si="54"/>
        <v>2.4306390034679204</v>
      </c>
      <c r="AG51" s="17">
        <f t="shared" si="55"/>
        <v>6.1558828212152665</v>
      </c>
      <c r="AH51" s="17">
        <f t="shared" si="56"/>
        <v>15.590506663395324</v>
      </c>
      <c r="AI51" s="17">
        <f t="shared" si="41"/>
        <v>39.484815639283291</v>
      </c>
      <c r="AJ51" s="16">
        <f t="shared" si="37"/>
        <v>100</v>
      </c>
      <c r="AN51" s="39"/>
      <c r="AO51" s="18">
        <f t="shared" si="4"/>
        <v>-1076400000</v>
      </c>
      <c r="AP51" s="19">
        <f t="shared" si="5"/>
        <v>0</v>
      </c>
      <c r="AQ51" s="19">
        <f t="shared" si="6"/>
        <v>0</v>
      </c>
      <c r="AR51" s="19">
        <f t="shared" si="7"/>
        <v>0</v>
      </c>
      <c r="AS51" s="19">
        <f t="shared" si="8"/>
        <v>0</v>
      </c>
      <c r="AT51" s="19">
        <f t="shared" si="9"/>
        <v>0</v>
      </c>
      <c r="AU51" s="19">
        <f t="shared" si="10"/>
        <v>0</v>
      </c>
      <c r="AV51" s="19">
        <f t="shared" si="11"/>
        <v>0</v>
      </c>
      <c r="AW51" s="19">
        <f t="shared" si="12"/>
        <v>0</v>
      </c>
      <c r="AX51" s="19">
        <f t="shared" si="13"/>
        <v>0</v>
      </c>
      <c r="AY51" s="19">
        <f t="shared" si="14"/>
        <v>0</v>
      </c>
      <c r="AZ51" s="19">
        <f t="shared" si="15"/>
        <v>0</v>
      </c>
      <c r="BA51" s="19">
        <f t="shared" si="16"/>
        <v>0</v>
      </c>
      <c r="BB51" s="19">
        <f t="shared" si="17"/>
        <v>0</v>
      </c>
      <c r="BC51" s="19">
        <f t="shared" si="18"/>
        <v>0</v>
      </c>
      <c r="BD51" s="19">
        <f t="shared" si="19"/>
        <v>0</v>
      </c>
      <c r="BE51" s="19">
        <f t="shared" si="20"/>
        <v>0</v>
      </c>
      <c r="BF51" s="19">
        <f t="shared" si="21"/>
        <v>0</v>
      </c>
      <c r="BG51" s="19">
        <f t="shared" si="22"/>
        <v>0</v>
      </c>
      <c r="BH51" s="19">
        <f t="shared" si="23"/>
        <v>0</v>
      </c>
      <c r="BI51" s="19">
        <f t="shared" si="24"/>
        <v>0</v>
      </c>
      <c r="BJ51" s="19">
        <f t="shared" si="25"/>
        <v>0</v>
      </c>
      <c r="BK51" s="19">
        <f t="shared" si="26"/>
        <v>0</v>
      </c>
      <c r="BL51" s="19">
        <f t="shared" si="27"/>
        <v>0</v>
      </c>
      <c r="BM51" s="19">
        <f t="shared" si="28"/>
        <v>0</v>
      </c>
      <c r="BN51" s="19">
        <f t="shared" si="29"/>
        <v>0</v>
      </c>
      <c r="BO51" s="19">
        <f t="shared" si="30"/>
        <v>0</v>
      </c>
      <c r="BP51" s="19">
        <f t="shared" si="31"/>
        <v>0</v>
      </c>
      <c r="BQ51" s="19">
        <f t="shared" si="32"/>
        <v>0</v>
      </c>
      <c r="BR51" s="18">
        <f t="shared" si="33"/>
        <v>-358800000</v>
      </c>
      <c r="BU51" s="37"/>
      <c r="BV51" s="24">
        <v>0</v>
      </c>
      <c r="BW51" s="20">
        <f t="shared" si="38"/>
        <v>0.3415922014622258</v>
      </c>
      <c r="BX51" s="20">
        <f t="shared" si="57"/>
        <v>0.3867162803971414</v>
      </c>
      <c r="BY51" s="20">
        <f t="shared" si="57"/>
        <v>0.39358441341045353</v>
      </c>
      <c r="BZ51" s="20">
        <f t="shared" si="57"/>
        <v>0.39465123071155611</v>
      </c>
      <c r="CA51" s="20">
        <f t="shared" si="57"/>
        <v>0.39481745705771337</v>
      </c>
      <c r="CB51" s="20">
        <f t="shared" si="57"/>
        <v>0.39484337025824801</v>
      </c>
      <c r="CC51" s="20">
        <f t="shared" si="57"/>
        <v>0.39484741020089792</v>
      </c>
      <c r="CD51" s="20">
        <f t="shared" si="57"/>
        <v>0.39484804004704999</v>
      </c>
      <c r="CE51" s="20">
        <f t="shared" si="57"/>
        <v>0.39484813824322279</v>
      </c>
      <c r="CF51" s="20">
        <f t="shared" si="57"/>
        <v>0.39484815355250286</v>
      </c>
      <c r="CG51" s="20">
        <f t="shared" si="57"/>
        <v>0.39484815593929717</v>
      </c>
      <c r="CH51" s="20">
        <f t="shared" si="57"/>
        <v>0.39484815631141046</v>
      </c>
      <c r="CI51" s="20">
        <f t="shared" si="57"/>
        <v>0.39484815636942483</v>
      </c>
      <c r="CJ51" s="20">
        <f t="shared" si="57"/>
        <v>0.39484815637846954</v>
      </c>
      <c r="CK51" s="20">
        <f t="shared" si="57"/>
        <v>0.39484815637987963</v>
      </c>
      <c r="CL51" s="20">
        <f t="shared" si="57"/>
        <v>0.39484815638009951</v>
      </c>
      <c r="CM51" s="20">
        <f t="shared" si="57"/>
        <v>0.39484815638013382</v>
      </c>
      <c r="CN51" s="20">
        <f t="shared" si="57"/>
        <v>0.39484815638013915</v>
      </c>
      <c r="CO51" s="20">
        <f t="shared" si="57"/>
        <v>0.39484815638013998</v>
      </c>
      <c r="CP51" s="20">
        <f t="shared" si="57"/>
        <v>0.39484815638014015</v>
      </c>
      <c r="CQ51" s="20">
        <f t="shared" si="57"/>
        <v>0.39484815638014015</v>
      </c>
      <c r="CR51" s="20">
        <f t="shared" si="57"/>
        <v>0.39484815638014015</v>
      </c>
      <c r="CS51" s="20">
        <f t="shared" si="57"/>
        <v>0.39484815638014015</v>
      </c>
      <c r="CT51" s="20">
        <f t="shared" si="57"/>
        <v>0.39484815638014015</v>
      </c>
      <c r="CU51" s="20">
        <f t="shared" si="57"/>
        <v>0.39484815638014015</v>
      </c>
      <c r="CV51" s="20">
        <f t="shared" si="57"/>
        <v>0.39484815638014015</v>
      </c>
      <c r="CW51" s="20">
        <f t="shared" si="57"/>
        <v>0.39484815638014015</v>
      </c>
      <c r="CX51" s="20">
        <f t="shared" si="57"/>
        <v>0.39484815638014015</v>
      </c>
      <c r="CY51" s="24">
        <f t="shared" si="57"/>
        <v>0.39484815638014015</v>
      </c>
      <c r="DB51" s="37"/>
      <c r="DC51" s="16">
        <f t="shared" si="39"/>
        <v>300</v>
      </c>
      <c r="DD51" s="20">
        <f t="shared" si="40"/>
        <v>102.47766043866774</v>
      </c>
      <c r="DE51" s="20">
        <f t="shared" si="95"/>
        <v>39.629779668642875</v>
      </c>
      <c r="DF51" s="20">
        <f t="shared" si="96"/>
        <v>15.597663584468325</v>
      </c>
      <c r="DG51" s="20">
        <f t="shared" si="97"/>
        <v>6.1556371298352461</v>
      </c>
      <c r="DH51" s="20">
        <f t="shared" si="58"/>
        <v>2.4303529981715934</v>
      </c>
      <c r="DI51" s="20">
        <f t="shared" si="59"/>
        <v>0.95960876871530965</v>
      </c>
      <c r="DJ51" s="20">
        <f t="shared" si="60"/>
        <v>0.37889903713331241</v>
      </c>
      <c r="DK51" s="20">
        <f t="shared" si="61"/>
        <v>0.14960754218780284</v>
      </c>
      <c r="DL51" s="20">
        <f t="shared" si="62"/>
        <v>5.9072259499998357E-2</v>
      </c>
      <c r="DM51" s="20">
        <f t="shared" si="63"/>
        <v>2.3324572589748647E-2</v>
      </c>
      <c r="DN51" s="20">
        <f t="shared" si="64"/>
        <v>9.2096644751345318E-3</v>
      </c>
      <c r="DO51" s="20">
        <f t="shared" si="65"/>
        <v>3.6364190382535641E-3</v>
      </c>
      <c r="DP51" s="20">
        <f t="shared" si="66"/>
        <v>1.4358333530410969E-3</v>
      </c>
      <c r="DQ51" s="20">
        <f t="shared" si="67"/>
        <v>5.6693615231499328E-4</v>
      </c>
      <c r="DR51" s="20">
        <f t="shared" si="68"/>
        <v>2.2385369452667772E-4</v>
      </c>
      <c r="DS51" s="20">
        <f t="shared" si="69"/>
        <v>8.8388218582732665E-5</v>
      </c>
      <c r="DT51" s="20">
        <f t="shared" si="70"/>
        <v>3.4899925153116278E-5</v>
      </c>
      <c r="DU51" s="20">
        <f t="shared" si="71"/>
        <v>1.3780171104512806E-5</v>
      </c>
      <c r="DV51" s="20">
        <f t="shared" si="72"/>
        <v>5.4410751552197585E-6</v>
      </c>
      <c r="DW51" s="20">
        <f t="shared" si="73"/>
        <v>2.1483984937643062E-6</v>
      </c>
      <c r="DX51" s="20">
        <f t="shared" si="74"/>
        <v>8.4829118443270635E-7</v>
      </c>
      <c r="DY51" s="20">
        <f t="shared" si="75"/>
        <v>3.3494621024677948E-7</v>
      </c>
      <c r="DZ51" s="20">
        <f t="shared" si="76"/>
        <v>1.3225289360245567E-7</v>
      </c>
      <c r="EA51" s="20">
        <f t="shared" si="77"/>
        <v>5.2219811214868452E-8</v>
      </c>
      <c r="EB51" s="20">
        <f t="shared" si="78"/>
        <v>2.0618896184709772E-8</v>
      </c>
      <c r="EC51" s="20">
        <f t="shared" si="79"/>
        <v>8.1413331451261602E-9</v>
      </c>
      <c r="ED51" s="20">
        <f t="shared" si="80"/>
        <v>3.2145903828295923E-9</v>
      </c>
      <c r="EE51" s="20">
        <f t="shared" si="81"/>
        <v>1.2692750861775935E-9</v>
      </c>
      <c r="EF51" s="24">
        <f t="shared" si="82"/>
        <v>36.620875384152697</v>
      </c>
    </row>
    <row r="52" spans="6:136" ht="15" customHeight="1" x14ac:dyDescent="0.25">
      <c r="F52" s="34"/>
      <c r="G52" s="16">
        <f t="shared" si="36"/>
        <v>300</v>
      </c>
      <c r="H52" s="17">
        <f t="shared" si="83"/>
        <v>118.45444691446514</v>
      </c>
      <c r="I52" s="17">
        <f t="shared" si="84"/>
        <v>46.771519980277262</v>
      </c>
      <c r="J52" s="17">
        <f t="shared" si="85"/>
        <v>18.467648438023144</v>
      </c>
      <c r="K52" s="17">
        <f t="shared" si="86"/>
        <v>7.2919169453029777</v>
      </c>
      <c r="L52" s="17">
        <f t="shared" si="87"/>
        <v>2.8791999797365877</v>
      </c>
      <c r="M52" s="17">
        <f t="shared" si="88"/>
        <v>1.1368468479330263</v>
      </c>
      <c r="N52" s="17">
        <f t="shared" si="89"/>
        <v>0.4488819936416657</v>
      </c>
      <c r="O52" s="17">
        <f t="shared" si="90"/>
        <v>0.17724051038538166</v>
      </c>
      <c r="P52" s="17">
        <f t="shared" si="91"/>
        <v>6.998380489437428E-2</v>
      </c>
      <c r="Q52" s="17">
        <f t="shared" si="92"/>
        <v>2.7634790030729509E-2</v>
      </c>
      <c r="R52" s="17">
        <f t="shared" si="93"/>
        <v>1.0916139285953969E-2</v>
      </c>
      <c r="S52" s="17">
        <f t="shared" si="94"/>
        <v>4.3218507802320468E-3</v>
      </c>
      <c r="T52" s="17">
        <f t="shared" si="42"/>
        <v>1.7359375522520962E-3</v>
      </c>
      <c r="U52" s="17">
        <f t="shared" si="43"/>
        <v>7.600496402729004E-4</v>
      </c>
      <c r="V52" s="17">
        <f t="shared" si="44"/>
        <v>4.8908291665620478E-4</v>
      </c>
      <c r="W52" s="17">
        <f t="shared" si="45"/>
        <v>6.7172460563384923E-4</v>
      </c>
      <c r="X52" s="17">
        <f t="shared" si="46"/>
        <v>1.4773689015013898E-3</v>
      </c>
      <c r="Y52" s="17">
        <f t="shared" si="47"/>
        <v>3.6532245447780669E-3</v>
      </c>
      <c r="Z52" s="17">
        <f t="shared" si="48"/>
        <v>9.2173264959345223E-3</v>
      </c>
      <c r="AA52" s="17">
        <f t="shared" si="49"/>
        <v>2.3330197373165804E-2</v>
      </c>
      <c r="AB52" s="17">
        <f t="shared" si="50"/>
        <v>5.9081063435972983E-2</v>
      </c>
      <c r="AC52" s="17">
        <f t="shared" si="51"/>
        <v>0.14962768393404643</v>
      </c>
      <c r="AD52" s="17">
        <f t="shared" si="52"/>
        <v>0.37894908858022486</v>
      </c>
      <c r="AE52" s="17">
        <f t="shared" si="53"/>
        <v>0.95973338156478072</v>
      </c>
      <c r="AF52" s="17">
        <f t="shared" si="54"/>
        <v>2.4306390034679204</v>
      </c>
      <c r="AG52" s="17">
        <f t="shared" si="55"/>
        <v>6.1558828212152665</v>
      </c>
      <c r="AH52" s="17">
        <f t="shared" si="56"/>
        <v>15.590506663395324</v>
      </c>
      <c r="AI52" s="17">
        <f t="shared" si="41"/>
        <v>39.484815639283291</v>
      </c>
      <c r="AJ52" s="16">
        <f t="shared" si="37"/>
        <v>100</v>
      </c>
      <c r="AN52" s="39"/>
      <c r="AO52" s="18">
        <f t="shared" si="4"/>
        <v>-1076400000</v>
      </c>
      <c r="AP52" s="19">
        <f t="shared" si="5"/>
        <v>0</v>
      </c>
      <c r="AQ52" s="19">
        <f t="shared" si="6"/>
        <v>0</v>
      </c>
      <c r="AR52" s="19">
        <f t="shared" si="7"/>
        <v>0</v>
      </c>
      <c r="AS52" s="19">
        <f t="shared" si="8"/>
        <v>0</v>
      </c>
      <c r="AT52" s="19">
        <f t="shared" si="9"/>
        <v>0</v>
      </c>
      <c r="AU52" s="19">
        <f t="shared" si="10"/>
        <v>0</v>
      </c>
      <c r="AV52" s="19">
        <f t="shared" si="11"/>
        <v>0</v>
      </c>
      <c r="AW52" s="19">
        <f t="shared" si="12"/>
        <v>0</v>
      </c>
      <c r="AX52" s="19">
        <f t="shared" si="13"/>
        <v>0</v>
      </c>
      <c r="AY52" s="19">
        <f t="shared" si="14"/>
        <v>0</v>
      </c>
      <c r="AZ52" s="19">
        <f t="shared" si="15"/>
        <v>0</v>
      </c>
      <c r="BA52" s="19">
        <f t="shared" si="16"/>
        <v>0</v>
      </c>
      <c r="BB52" s="19">
        <f t="shared" si="17"/>
        <v>0</v>
      </c>
      <c r="BC52" s="19">
        <f t="shared" si="18"/>
        <v>0</v>
      </c>
      <c r="BD52" s="19">
        <f t="shared" si="19"/>
        <v>0</v>
      </c>
      <c r="BE52" s="19">
        <f t="shared" si="20"/>
        <v>0</v>
      </c>
      <c r="BF52" s="19">
        <f t="shared" si="21"/>
        <v>0</v>
      </c>
      <c r="BG52" s="19">
        <f t="shared" si="22"/>
        <v>0</v>
      </c>
      <c r="BH52" s="19">
        <f t="shared" si="23"/>
        <v>0</v>
      </c>
      <c r="BI52" s="19">
        <f t="shared" si="24"/>
        <v>0</v>
      </c>
      <c r="BJ52" s="19">
        <f t="shared" si="25"/>
        <v>0</v>
      </c>
      <c r="BK52" s="19">
        <f t="shared" si="26"/>
        <v>0</v>
      </c>
      <c r="BL52" s="19">
        <f t="shared" si="27"/>
        <v>0</v>
      </c>
      <c r="BM52" s="19">
        <f t="shared" si="28"/>
        <v>0</v>
      </c>
      <c r="BN52" s="19">
        <f t="shared" si="29"/>
        <v>0</v>
      </c>
      <c r="BO52" s="19">
        <f t="shared" si="30"/>
        <v>0</v>
      </c>
      <c r="BP52" s="19">
        <f t="shared" si="31"/>
        <v>0</v>
      </c>
      <c r="BQ52" s="19">
        <f t="shared" si="32"/>
        <v>0</v>
      </c>
      <c r="BR52" s="18">
        <f t="shared" si="33"/>
        <v>-358800000</v>
      </c>
      <c r="BU52" s="37"/>
      <c r="BV52" s="24">
        <v>0</v>
      </c>
      <c r="BW52" s="20">
        <f t="shared" si="38"/>
        <v>0.3415922014622258</v>
      </c>
      <c r="BX52" s="20">
        <f t="shared" si="57"/>
        <v>0.3867162803971414</v>
      </c>
      <c r="BY52" s="20">
        <f t="shared" si="57"/>
        <v>0.39358441341045353</v>
      </c>
      <c r="BZ52" s="20">
        <f t="shared" si="57"/>
        <v>0.39465123071155611</v>
      </c>
      <c r="CA52" s="20">
        <f t="shared" si="57"/>
        <v>0.39481745705771337</v>
      </c>
      <c r="CB52" s="20">
        <f t="shared" si="57"/>
        <v>0.39484337025824801</v>
      </c>
      <c r="CC52" s="20">
        <f t="shared" si="57"/>
        <v>0.39484741020089792</v>
      </c>
      <c r="CD52" s="20">
        <f t="shared" si="57"/>
        <v>0.39484804004704999</v>
      </c>
      <c r="CE52" s="20">
        <f t="shared" si="57"/>
        <v>0.39484813824322279</v>
      </c>
      <c r="CF52" s="20">
        <f t="shared" si="57"/>
        <v>0.39484815355250286</v>
      </c>
      <c r="CG52" s="20">
        <f t="shared" si="57"/>
        <v>0.39484815593929717</v>
      </c>
      <c r="CH52" s="20">
        <f t="shared" si="57"/>
        <v>0.39484815631141046</v>
      </c>
      <c r="CI52" s="20">
        <f t="shared" si="57"/>
        <v>0.39484815636942483</v>
      </c>
      <c r="CJ52" s="20">
        <f t="shared" si="57"/>
        <v>0.39484815637846954</v>
      </c>
      <c r="CK52" s="20">
        <f t="shared" si="57"/>
        <v>0.39484815637987963</v>
      </c>
      <c r="CL52" s="20">
        <f t="shared" si="57"/>
        <v>0.39484815638009951</v>
      </c>
      <c r="CM52" s="20">
        <f t="shared" si="57"/>
        <v>0.39484815638013382</v>
      </c>
      <c r="CN52" s="20">
        <f t="shared" si="57"/>
        <v>0.39484815638013915</v>
      </c>
      <c r="CO52" s="20">
        <f t="shared" si="57"/>
        <v>0.39484815638013998</v>
      </c>
      <c r="CP52" s="20">
        <f t="shared" si="57"/>
        <v>0.39484815638014015</v>
      </c>
      <c r="CQ52" s="20">
        <f t="shared" si="57"/>
        <v>0.39484815638014015</v>
      </c>
      <c r="CR52" s="20">
        <f t="shared" si="57"/>
        <v>0.39484815638014015</v>
      </c>
      <c r="CS52" s="20">
        <f t="shared" si="57"/>
        <v>0.39484815638014015</v>
      </c>
      <c r="CT52" s="20">
        <f t="shared" si="57"/>
        <v>0.39484815638014015</v>
      </c>
      <c r="CU52" s="20">
        <f t="shared" si="57"/>
        <v>0.39484815638014015</v>
      </c>
      <c r="CV52" s="20">
        <f t="shared" si="57"/>
        <v>0.39484815638014015</v>
      </c>
      <c r="CW52" s="20">
        <f t="shared" si="57"/>
        <v>0.39484815638014015</v>
      </c>
      <c r="CX52" s="20">
        <f t="shared" si="57"/>
        <v>0.39484815638014015</v>
      </c>
      <c r="CY52" s="24">
        <f t="shared" si="57"/>
        <v>0.39484815638014015</v>
      </c>
      <c r="DB52" s="37"/>
      <c r="DC52" s="16">
        <f t="shared" si="39"/>
        <v>300</v>
      </c>
      <c r="DD52" s="20">
        <f t="shared" si="40"/>
        <v>102.47766043866774</v>
      </c>
      <c r="DE52" s="20">
        <f t="shared" si="95"/>
        <v>39.629779668642875</v>
      </c>
      <c r="DF52" s="20">
        <f t="shared" si="96"/>
        <v>15.597663584468325</v>
      </c>
      <c r="DG52" s="20">
        <f t="shared" si="97"/>
        <v>6.1556371298352461</v>
      </c>
      <c r="DH52" s="20">
        <f t="shared" si="58"/>
        <v>2.4303529981715934</v>
      </c>
      <c r="DI52" s="20">
        <f t="shared" si="59"/>
        <v>0.95960876871530965</v>
      </c>
      <c r="DJ52" s="20">
        <f t="shared" si="60"/>
        <v>0.37889903713331241</v>
      </c>
      <c r="DK52" s="20">
        <f t="shared" si="61"/>
        <v>0.14960754218780284</v>
      </c>
      <c r="DL52" s="20">
        <f t="shared" si="62"/>
        <v>5.9072259499998357E-2</v>
      </c>
      <c r="DM52" s="20">
        <f t="shared" si="63"/>
        <v>2.3324572589748647E-2</v>
      </c>
      <c r="DN52" s="20">
        <f t="shared" si="64"/>
        <v>9.2096644751345318E-3</v>
      </c>
      <c r="DO52" s="20">
        <f t="shared" si="65"/>
        <v>3.6364190382535641E-3</v>
      </c>
      <c r="DP52" s="20">
        <f t="shared" si="66"/>
        <v>1.4358333530410969E-3</v>
      </c>
      <c r="DQ52" s="20">
        <f t="shared" si="67"/>
        <v>5.6693615231499328E-4</v>
      </c>
      <c r="DR52" s="20">
        <f t="shared" si="68"/>
        <v>2.2385369452667772E-4</v>
      </c>
      <c r="DS52" s="20">
        <f t="shared" si="69"/>
        <v>8.8388218582732665E-5</v>
      </c>
      <c r="DT52" s="20">
        <f t="shared" si="70"/>
        <v>3.4899925153116278E-5</v>
      </c>
      <c r="DU52" s="20">
        <f t="shared" si="71"/>
        <v>1.3780171104512806E-5</v>
      </c>
      <c r="DV52" s="20">
        <f t="shared" si="72"/>
        <v>5.4410751552197585E-6</v>
      </c>
      <c r="DW52" s="20">
        <f t="shared" si="73"/>
        <v>2.1483984937643062E-6</v>
      </c>
      <c r="DX52" s="20">
        <f t="shared" si="74"/>
        <v>8.4829118443270635E-7</v>
      </c>
      <c r="DY52" s="20">
        <f t="shared" si="75"/>
        <v>3.3494621024677948E-7</v>
      </c>
      <c r="DZ52" s="20">
        <f t="shared" si="76"/>
        <v>1.3225289360245567E-7</v>
      </c>
      <c r="EA52" s="20">
        <f t="shared" si="77"/>
        <v>5.2219811214868452E-8</v>
      </c>
      <c r="EB52" s="20">
        <f t="shared" si="78"/>
        <v>2.0618896184709772E-8</v>
      </c>
      <c r="EC52" s="20">
        <f t="shared" si="79"/>
        <v>8.1413331451261602E-9</v>
      </c>
      <c r="ED52" s="20">
        <f t="shared" si="80"/>
        <v>3.2145903828295923E-9</v>
      </c>
      <c r="EE52" s="20">
        <f t="shared" si="81"/>
        <v>1.2692750861775935E-9</v>
      </c>
      <c r="EF52" s="24">
        <f t="shared" si="82"/>
        <v>36.620875384152697</v>
      </c>
    </row>
    <row r="53" spans="6:136" ht="15" customHeight="1" x14ac:dyDescent="0.25">
      <c r="F53" s="34"/>
      <c r="G53" s="16">
        <f t="shared" si="36"/>
        <v>300</v>
      </c>
      <c r="H53" s="17">
        <f t="shared" si="83"/>
        <v>118.45444691446514</v>
      </c>
      <c r="I53" s="17">
        <f t="shared" si="84"/>
        <v>46.771519980277262</v>
      </c>
      <c r="J53" s="17">
        <f t="shared" si="85"/>
        <v>18.467648438023144</v>
      </c>
      <c r="K53" s="17">
        <f t="shared" si="86"/>
        <v>7.2919169453029777</v>
      </c>
      <c r="L53" s="17">
        <f t="shared" si="87"/>
        <v>2.8791999797365877</v>
      </c>
      <c r="M53" s="17">
        <f t="shared" si="88"/>
        <v>1.1368468479330263</v>
      </c>
      <c r="N53" s="17">
        <f t="shared" si="89"/>
        <v>0.4488819936416657</v>
      </c>
      <c r="O53" s="17">
        <f t="shared" si="90"/>
        <v>0.17724051038538166</v>
      </c>
      <c r="P53" s="17">
        <f t="shared" si="91"/>
        <v>6.998380489437428E-2</v>
      </c>
      <c r="Q53" s="17">
        <f t="shared" si="92"/>
        <v>2.7634790030729509E-2</v>
      </c>
      <c r="R53" s="17">
        <f t="shared" si="93"/>
        <v>1.0916139285953969E-2</v>
      </c>
      <c r="S53" s="17">
        <f t="shared" si="94"/>
        <v>4.3218507802320468E-3</v>
      </c>
      <c r="T53" s="17">
        <f t="shared" si="42"/>
        <v>1.7359375522520962E-3</v>
      </c>
      <c r="U53" s="17">
        <f t="shared" si="43"/>
        <v>7.600496402729004E-4</v>
      </c>
      <c r="V53" s="17">
        <f t="shared" si="44"/>
        <v>4.8908291665620478E-4</v>
      </c>
      <c r="W53" s="17">
        <f t="shared" si="45"/>
        <v>6.7172460563384923E-4</v>
      </c>
      <c r="X53" s="17">
        <f t="shared" si="46"/>
        <v>1.4773689015013898E-3</v>
      </c>
      <c r="Y53" s="17">
        <f t="shared" si="47"/>
        <v>3.6532245447780669E-3</v>
      </c>
      <c r="Z53" s="17">
        <f t="shared" si="48"/>
        <v>9.2173264959345223E-3</v>
      </c>
      <c r="AA53" s="17">
        <f t="shared" si="49"/>
        <v>2.3330197373165804E-2</v>
      </c>
      <c r="AB53" s="17">
        <f t="shared" si="50"/>
        <v>5.9081063435972983E-2</v>
      </c>
      <c r="AC53" s="17">
        <f t="shared" si="51"/>
        <v>0.14962768393404643</v>
      </c>
      <c r="AD53" s="17">
        <f t="shared" si="52"/>
        <v>0.37894908858022486</v>
      </c>
      <c r="AE53" s="17">
        <f t="shared" si="53"/>
        <v>0.95973338156478072</v>
      </c>
      <c r="AF53" s="17">
        <f t="shared" si="54"/>
        <v>2.4306390034679204</v>
      </c>
      <c r="AG53" s="17">
        <f t="shared" si="55"/>
        <v>6.1558828212152665</v>
      </c>
      <c r="AH53" s="17">
        <f t="shared" si="56"/>
        <v>15.590506663395324</v>
      </c>
      <c r="AI53" s="17">
        <f t="shared" si="41"/>
        <v>39.484815639283291</v>
      </c>
      <c r="AJ53" s="16">
        <f t="shared" si="37"/>
        <v>100</v>
      </c>
      <c r="AN53" s="39"/>
      <c r="AO53" s="18">
        <f t="shared" si="4"/>
        <v>-1076400000</v>
      </c>
      <c r="AP53" s="19">
        <f t="shared" si="5"/>
        <v>0</v>
      </c>
      <c r="AQ53" s="19">
        <f t="shared" si="6"/>
        <v>0</v>
      </c>
      <c r="AR53" s="19">
        <f t="shared" si="7"/>
        <v>0</v>
      </c>
      <c r="AS53" s="19">
        <f t="shared" si="8"/>
        <v>0</v>
      </c>
      <c r="AT53" s="19">
        <f t="shared" si="9"/>
        <v>0</v>
      </c>
      <c r="AU53" s="19">
        <f t="shared" si="10"/>
        <v>0</v>
      </c>
      <c r="AV53" s="19">
        <f t="shared" si="11"/>
        <v>0</v>
      </c>
      <c r="AW53" s="19">
        <f t="shared" si="12"/>
        <v>0</v>
      </c>
      <c r="AX53" s="19">
        <f t="shared" si="13"/>
        <v>0</v>
      </c>
      <c r="AY53" s="19">
        <f t="shared" si="14"/>
        <v>0</v>
      </c>
      <c r="AZ53" s="19">
        <f t="shared" si="15"/>
        <v>0</v>
      </c>
      <c r="BA53" s="19">
        <f t="shared" si="16"/>
        <v>0</v>
      </c>
      <c r="BB53" s="19">
        <f t="shared" si="17"/>
        <v>0</v>
      </c>
      <c r="BC53" s="19">
        <f t="shared" si="18"/>
        <v>0</v>
      </c>
      <c r="BD53" s="19">
        <f t="shared" si="19"/>
        <v>0</v>
      </c>
      <c r="BE53" s="19">
        <f t="shared" si="20"/>
        <v>0</v>
      </c>
      <c r="BF53" s="19">
        <f t="shared" si="21"/>
        <v>0</v>
      </c>
      <c r="BG53" s="19">
        <f t="shared" si="22"/>
        <v>0</v>
      </c>
      <c r="BH53" s="19">
        <f t="shared" si="23"/>
        <v>0</v>
      </c>
      <c r="BI53" s="19">
        <f t="shared" si="24"/>
        <v>0</v>
      </c>
      <c r="BJ53" s="19">
        <f t="shared" si="25"/>
        <v>0</v>
      </c>
      <c r="BK53" s="19">
        <f t="shared" si="26"/>
        <v>0</v>
      </c>
      <c r="BL53" s="19">
        <f t="shared" si="27"/>
        <v>0</v>
      </c>
      <c r="BM53" s="19">
        <f t="shared" si="28"/>
        <v>0</v>
      </c>
      <c r="BN53" s="19">
        <f t="shared" si="29"/>
        <v>0</v>
      </c>
      <c r="BO53" s="19">
        <f t="shared" si="30"/>
        <v>0</v>
      </c>
      <c r="BP53" s="19">
        <f t="shared" si="31"/>
        <v>0</v>
      </c>
      <c r="BQ53" s="19">
        <f t="shared" si="32"/>
        <v>0</v>
      </c>
      <c r="BR53" s="18">
        <f t="shared" si="33"/>
        <v>-358800000</v>
      </c>
      <c r="BU53" s="37"/>
      <c r="BV53" s="24">
        <v>0</v>
      </c>
      <c r="BW53" s="20">
        <f t="shared" si="38"/>
        <v>0.3415922014622258</v>
      </c>
      <c r="BX53" s="20">
        <f t="shared" si="57"/>
        <v>0.3867162803971414</v>
      </c>
      <c r="BY53" s="20">
        <f t="shared" si="57"/>
        <v>0.39358441341045353</v>
      </c>
      <c r="BZ53" s="20">
        <f t="shared" si="57"/>
        <v>0.39465123071155611</v>
      </c>
      <c r="CA53" s="20">
        <f t="shared" si="57"/>
        <v>0.39481745705771337</v>
      </c>
      <c r="CB53" s="20">
        <f t="shared" si="57"/>
        <v>0.39484337025824801</v>
      </c>
      <c r="CC53" s="20">
        <f t="shared" si="57"/>
        <v>0.39484741020089792</v>
      </c>
      <c r="CD53" s="20">
        <f t="shared" si="57"/>
        <v>0.39484804004704999</v>
      </c>
      <c r="CE53" s="20">
        <f t="shared" si="57"/>
        <v>0.39484813824322279</v>
      </c>
      <c r="CF53" s="20">
        <f t="shared" si="57"/>
        <v>0.39484815355250286</v>
      </c>
      <c r="CG53" s="20">
        <f t="shared" si="57"/>
        <v>0.39484815593929717</v>
      </c>
      <c r="CH53" s="20">
        <f t="shared" si="57"/>
        <v>0.39484815631141046</v>
      </c>
      <c r="CI53" s="20">
        <f t="shared" si="57"/>
        <v>0.39484815636942483</v>
      </c>
      <c r="CJ53" s="20">
        <f t="shared" si="57"/>
        <v>0.39484815637846954</v>
      </c>
      <c r="CK53" s="20">
        <f t="shared" si="57"/>
        <v>0.39484815637987963</v>
      </c>
      <c r="CL53" s="20">
        <f t="shared" si="57"/>
        <v>0.39484815638009951</v>
      </c>
      <c r="CM53" s="20">
        <f t="shared" si="57"/>
        <v>0.39484815638013382</v>
      </c>
      <c r="CN53" s="20">
        <f t="shared" si="57"/>
        <v>0.39484815638013915</v>
      </c>
      <c r="CO53" s="20">
        <f t="shared" si="57"/>
        <v>0.39484815638013998</v>
      </c>
      <c r="CP53" s="20">
        <f t="shared" si="57"/>
        <v>0.39484815638014015</v>
      </c>
      <c r="CQ53" s="20">
        <f t="shared" si="57"/>
        <v>0.39484815638014015</v>
      </c>
      <c r="CR53" s="20">
        <f t="shared" si="57"/>
        <v>0.39484815638014015</v>
      </c>
      <c r="CS53" s="20">
        <f t="shared" si="57"/>
        <v>0.39484815638014015</v>
      </c>
      <c r="CT53" s="20">
        <f t="shared" si="57"/>
        <v>0.39484815638014015</v>
      </c>
      <c r="CU53" s="20">
        <f t="shared" si="57"/>
        <v>0.39484815638014015</v>
      </c>
      <c r="CV53" s="20">
        <f t="shared" si="57"/>
        <v>0.39484815638014015</v>
      </c>
      <c r="CW53" s="20">
        <f t="shared" si="57"/>
        <v>0.39484815638014015</v>
      </c>
      <c r="CX53" s="20">
        <f t="shared" si="57"/>
        <v>0.39484815638014015</v>
      </c>
      <c r="CY53" s="24">
        <f t="shared" si="57"/>
        <v>0.39484815638014015</v>
      </c>
      <c r="DB53" s="37"/>
      <c r="DC53" s="16">
        <f t="shared" si="39"/>
        <v>300</v>
      </c>
      <c r="DD53" s="20">
        <f t="shared" si="40"/>
        <v>102.47766043866774</v>
      </c>
      <c r="DE53" s="20">
        <f t="shared" si="95"/>
        <v>39.629779668642875</v>
      </c>
      <c r="DF53" s="20">
        <f t="shared" si="96"/>
        <v>15.597663584468325</v>
      </c>
      <c r="DG53" s="20">
        <f t="shared" si="97"/>
        <v>6.1556371298352461</v>
      </c>
      <c r="DH53" s="20">
        <f t="shared" si="58"/>
        <v>2.4303529981715934</v>
      </c>
      <c r="DI53" s="20">
        <f t="shared" si="59"/>
        <v>0.95960876871530965</v>
      </c>
      <c r="DJ53" s="20">
        <f t="shared" si="60"/>
        <v>0.37889903713331241</v>
      </c>
      <c r="DK53" s="20">
        <f t="shared" si="61"/>
        <v>0.14960754218780284</v>
      </c>
      <c r="DL53" s="20">
        <f t="shared" si="62"/>
        <v>5.9072259499998357E-2</v>
      </c>
      <c r="DM53" s="20">
        <f t="shared" si="63"/>
        <v>2.3324572589748647E-2</v>
      </c>
      <c r="DN53" s="20">
        <f t="shared" si="64"/>
        <v>9.2096644751345318E-3</v>
      </c>
      <c r="DO53" s="20">
        <f t="shared" si="65"/>
        <v>3.6364190382535641E-3</v>
      </c>
      <c r="DP53" s="20">
        <f t="shared" si="66"/>
        <v>1.4358333530410969E-3</v>
      </c>
      <c r="DQ53" s="20">
        <f t="shared" si="67"/>
        <v>5.6693615231499328E-4</v>
      </c>
      <c r="DR53" s="20">
        <f t="shared" si="68"/>
        <v>2.2385369452667772E-4</v>
      </c>
      <c r="DS53" s="20">
        <f t="shared" si="69"/>
        <v>8.8388218582732665E-5</v>
      </c>
      <c r="DT53" s="20">
        <f t="shared" si="70"/>
        <v>3.4899925153116278E-5</v>
      </c>
      <c r="DU53" s="20">
        <f t="shared" si="71"/>
        <v>1.3780171104512806E-5</v>
      </c>
      <c r="DV53" s="20">
        <f t="shared" si="72"/>
        <v>5.4410751552197585E-6</v>
      </c>
      <c r="DW53" s="20">
        <f t="shared" si="73"/>
        <v>2.1483984937643062E-6</v>
      </c>
      <c r="DX53" s="20">
        <f t="shared" si="74"/>
        <v>8.4829118443270635E-7</v>
      </c>
      <c r="DY53" s="20">
        <f t="shared" si="75"/>
        <v>3.3494621024677948E-7</v>
      </c>
      <c r="DZ53" s="20">
        <f t="shared" si="76"/>
        <v>1.3225289360245567E-7</v>
      </c>
      <c r="EA53" s="20">
        <f t="shared" si="77"/>
        <v>5.2219811214868452E-8</v>
      </c>
      <c r="EB53" s="20">
        <f t="shared" si="78"/>
        <v>2.0618896184709772E-8</v>
      </c>
      <c r="EC53" s="20">
        <f t="shared" si="79"/>
        <v>8.1413331451261602E-9</v>
      </c>
      <c r="ED53" s="20">
        <f t="shared" si="80"/>
        <v>3.2145903828295923E-9</v>
      </c>
      <c r="EE53" s="20">
        <f t="shared" si="81"/>
        <v>1.2692750861775935E-9</v>
      </c>
      <c r="EF53" s="24">
        <f t="shared" si="82"/>
        <v>36.620875384152697</v>
      </c>
    </row>
    <row r="54" spans="6:136" ht="15" customHeight="1" x14ac:dyDescent="0.25">
      <c r="F54" s="34"/>
      <c r="G54" s="16">
        <f t="shared" si="36"/>
        <v>300</v>
      </c>
      <c r="H54" s="17">
        <f t="shared" si="83"/>
        <v>118.45444691446514</v>
      </c>
      <c r="I54" s="17">
        <f t="shared" si="84"/>
        <v>46.771519980277262</v>
      </c>
      <c r="J54" s="17">
        <f t="shared" si="85"/>
        <v>18.467648438023144</v>
      </c>
      <c r="K54" s="17">
        <f t="shared" si="86"/>
        <v>7.2919169453029777</v>
      </c>
      <c r="L54" s="17">
        <f t="shared" si="87"/>
        <v>2.8791999797365877</v>
      </c>
      <c r="M54" s="17">
        <f t="shared" si="88"/>
        <v>1.1368468479330263</v>
      </c>
      <c r="N54" s="17">
        <f t="shared" si="89"/>
        <v>0.4488819936416657</v>
      </c>
      <c r="O54" s="17">
        <f t="shared" si="90"/>
        <v>0.17724051038538166</v>
      </c>
      <c r="P54" s="17">
        <f t="shared" si="91"/>
        <v>6.998380489437428E-2</v>
      </c>
      <c r="Q54" s="17">
        <f t="shared" si="92"/>
        <v>2.7634790030729509E-2</v>
      </c>
      <c r="R54" s="17">
        <f t="shared" si="93"/>
        <v>1.0916139285953969E-2</v>
      </c>
      <c r="S54" s="17">
        <f t="shared" si="94"/>
        <v>4.3218507802320468E-3</v>
      </c>
      <c r="T54" s="17">
        <f t="shared" si="42"/>
        <v>1.7359375522520962E-3</v>
      </c>
      <c r="U54" s="17">
        <f t="shared" si="43"/>
        <v>7.600496402729004E-4</v>
      </c>
      <c r="V54" s="17">
        <f t="shared" si="44"/>
        <v>4.8908291665620478E-4</v>
      </c>
      <c r="W54" s="17">
        <f t="shared" si="45"/>
        <v>6.7172460563384923E-4</v>
      </c>
      <c r="X54" s="17">
        <f t="shared" si="46"/>
        <v>1.4773689015013898E-3</v>
      </c>
      <c r="Y54" s="17">
        <f t="shared" si="47"/>
        <v>3.6532245447780669E-3</v>
      </c>
      <c r="Z54" s="17">
        <f t="shared" si="48"/>
        <v>9.2173264959345223E-3</v>
      </c>
      <c r="AA54" s="17">
        <f t="shared" si="49"/>
        <v>2.3330197373165804E-2</v>
      </c>
      <c r="AB54" s="17">
        <f t="shared" si="50"/>
        <v>5.9081063435972983E-2</v>
      </c>
      <c r="AC54" s="17">
        <f t="shared" si="51"/>
        <v>0.14962768393404643</v>
      </c>
      <c r="AD54" s="17">
        <f t="shared" si="52"/>
        <v>0.37894908858022486</v>
      </c>
      <c r="AE54" s="17">
        <f t="shared" si="53"/>
        <v>0.95973338156478072</v>
      </c>
      <c r="AF54" s="17">
        <f t="shared" si="54"/>
        <v>2.4306390034679204</v>
      </c>
      <c r="AG54" s="17">
        <f t="shared" si="55"/>
        <v>6.1558828212152665</v>
      </c>
      <c r="AH54" s="17">
        <f t="shared" si="56"/>
        <v>15.590506663395324</v>
      </c>
      <c r="AI54" s="17">
        <f t="shared" si="41"/>
        <v>39.484815639283291</v>
      </c>
      <c r="AJ54" s="16">
        <f t="shared" si="37"/>
        <v>100</v>
      </c>
      <c r="AN54" s="39"/>
      <c r="AO54" s="18">
        <f t="shared" si="4"/>
        <v>-1076400000</v>
      </c>
      <c r="AP54" s="19">
        <f t="shared" si="5"/>
        <v>0</v>
      </c>
      <c r="AQ54" s="19">
        <f t="shared" si="6"/>
        <v>0</v>
      </c>
      <c r="AR54" s="19">
        <f t="shared" si="7"/>
        <v>0</v>
      </c>
      <c r="AS54" s="19">
        <f t="shared" si="8"/>
        <v>0</v>
      </c>
      <c r="AT54" s="19">
        <f t="shared" si="9"/>
        <v>0</v>
      </c>
      <c r="AU54" s="19">
        <f t="shared" si="10"/>
        <v>0</v>
      </c>
      <c r="AV54" s="19">
        <f t="shared" si="11"/>
        <v>0</v>
      </c>
      <c r="AW54" s="19">
        <f t="shared" si="12"/>
        <v>0</v>
      </c>
      <c r="AX54" s="19">
        <f t="shared" si="13"/>
        <v>0</v>
      </c>
      <c r="AY54" s="19">
        <f t="shared" si="14"/>
        <v>0</v>
      </c>
      <c r="AZ54" s="19">
        <f t="shared" si="15"/>
        <v>0</v>
      </c>
      <c r="BA54" s="19">
        <f t="shared" si="16"/>
        <v>0</v>
      </c>
      <c r="BB54" s="19">
        <f t="shared" si="17"/>
        <v>0</v>
      </c>
      <c r="BC54" s="19">
        <f t="shared" si="18"/>
        <v>0</v>
      </c>
      <c r="BD54" s="19">
        <f t="shared" si="19"/>
        <v>0</v>
      </c>
      <c r="BE54" s="19">
        <f t="shared" si="20"/>
        <v>0</v>
      </c>
      <c r="BF54" s="19">
        <f t="shared" si="21"/>
        <v>0</v>
      </c>
      <c r="BG54" s="19">
        <f t="shared" si="22"/>
        <v>0</v>
      </c>
      <c r="BH54" s="19">
        <f t="shared" si="23"/>
        <v>0</v>
      </c>
      <c r="BI54" s="19">
        <f t="shared" si="24"/>
        <v>0</v>
      </c>
      <c r="BJ54" s="19">
        <f t="shared" si="25"/>
        <v>0</v>
      </c>
      <c r="BK54" s="19">
        <f t="shared" si="26"/>
        <v>0</v>
      </c>
      <c r="BL54" s="19">
        <f t="shared" si="27"/>
        <v>0</v>
      </c>
      <c r="BM54" s="19">
        <f t="shared" si="28"/>
        <v>0</v>
      </c>
      <c r="BN54" s="19">
        <f t="shared" si="29"/>
        <v>0</v>
      </c>
      <c r="BO54" s="19">
        <f t="shared" si="30"/>
        <v>0</v>
      </c>
      <c r="BP54" s="19">
        <f t="shared" si="31"/>
        <v>0</v>
      </c>
      <c r="BQ54" s="19">
        <f t="shared" si="32"/>
        <v>0</v>
      </c>
      <c r="BR54" s="18">
        <f t="shared" si="33"/>
        <v>-358800000</v>
      </c>
      <c r="BU54" s="37"/>
      <c r="BV54" s="24">
        <v>0</v>
      </c>
      <c r="BW54" s="20">
        <f t="shared" si="38"/>
        <v>0.3415922014622258</v>
      </c>
      <c r="BX54" s="20">
        <f t="shared" si="57"/>
        <v>0.3867162803971414</v>
      </c>
      <c r="BY54" s="20">
        <f t="shared" si="57"/>
        <v>0.39358441341045353</v>
      </c>
      <c r="BZ54" s="20">
        <f t="shared" si="57"/>
        <v>0.39465123071155611</v>
      </c>
      <c r="CA54" s="20">
        <f t="shared" si="57"/>
        <v>0.39481745705771337</v>
      </c>
      <c r="CB54" s="20">
        <f t="shared" si="57"/>
        <v>0.39484337025824801</v>
      </c>
      <c r="CC54" s="20">
        <f t="shared" si="57"/>
        <v>0.39484741020089792</v>
      </c>
      <c r="CD54" s="20">
        <f t="shared" si="57"/>
        <v>0.39484804004704999</v>
      </c>
      <c r="CE54" s="20">
        <f t="shared" si="57"/>
        <v>0.39484813824322279</v>
      </c>
      <c r="CF54" s="20">
        <f t="shared" si="57"/>
        <v>0.39484815355250286</v>
      </c>
      <c r="CG54" s="20">
        <f t="shared" si="57"/>
        <v>0.39484815593929717</v>
      </c>
      <c r="CH54" s="20">
        <f t="shared" si="57"/>
        <v>0.39484815631141046</v>
      </c>
      <c r="CI54" s="20">
        <f t="shared" si="57"/>
        <v>0.39484815636942483</v>
      </c>
      <c r="CJ54" s="20">
        <f t="shared" si="57"/>
        <v>0.39484815637846954</v>
      </c>
      <c r="CK54" s="20">
        <f t="shared" si="57"/>
        <v>0.39484815637987963</v>
      </c>
      <c r="CL54" s="20">
        <f t="shared" si="57"/>
        <v>0.39484815638009951</v>
      </c>
      <c r="CM54" s="20">
        <f t="shared" si="57"/>
        <v>0.39484815638013382</v>
      </c>
      <c r="CN54" s="20">
        <f t="shared" si="57"/>
        <v>0.39484815638013915</v>
      </c>
      <c r="CO54" s="20">
        <f t="shared" si="57"/>
        <v>0.39484815638013998</v>
      </c>
      <c r="CP54" s="20">
        <f t="shared" si="57"/>
        <v>0.39484815638014015</v>
      </c>
      <c r="CQ54" s="20">
        <f t="shared" si="57"/>
        <v>0.39484815638014015</v>
      </c>
      <c r="CR54" s="20">
        <f t="shared" si="57"/>
        <v>0.39484815638014015</v>
      </c>
      <c r="CS54" s="20">
        <f t="shared" si="57"/>
        <v>0.39484815638014015</v>
      </c>
      <c r="CT54" s="20">
        <f t="shared" si="57"/>
        <v>0.39484815638014015</v>
      </c>
      <c r="CU54" s="20">
        <f t="shared" si="57"/>
        <v>0.39484815638014015</v>
      </c>
      <c r="CV54" s="20">
        <f t="shared" si="57"/>
        <v>0.39484815638014015</v>
      </c>
      <c r="CW54" s="20">
        <f t="shared" si="57"/>
        <v>0.39484815638014015</v>
      </c>
      <c r="CX54" s="20">
        <f t="shared" si="57"/>
        <v>0.39484815638014015</v>
      </c>
      <c r="CY54" s="24">
        <f t="shared" si="57"/>
        <v>0.39484815638014015</v>
      </c>
      <c r="DB54" s="37"/>
      <c r="DC54" s="16">
        <f t="shared" si="39"/>
        <v>300</v>
      </c>
      <c r="DD54" s="20">
        <f t="shared" si="40"/>
        <v>102.47766043866774</v>
      </c>
      <c r="DE54" s="20">
        <f t="shared" si="95"/>
        <v>39.629779668642875</v>
      </c>
      <c r="DF54" s="20">
        <f t="shared" si="96"/>
        <v>15.597663584468325</v>
      </c>
      <c r="DG54" s="20">
        <f t="shared" si="97"/>
        <v>6.1556371298352461</v>
      </c>
      <c r="DH54" s="20">
        <f t="shared" si="58"/>
        <v>2.4303529981715934</v>
      </c>
      <c r="DI54" s="20">
        <f t="shared" si="59"/>
        <v>0.95960876871530965</v>
      </c>
      <c r="DJ54" s="20">
        <f t="shared" si="60"/>
        <v>0.37889903713331241</v>
      </c>
      <c r="DK54" s="20">
        <f t="shared" si="61"/>
        <v>0.14960754218780284</v>
      </c>
      <c r="DL54" s="20">
        <f t="shared" si="62"/>
        <v>5.9072259499998357E-2</v>
      </c>
      <c r="DM54" s="20">
        <f t="shared" si="63"/>
        <v>2.3324572589748647E-2</v>
      </c>
      <c r="DN54" s="20">
        <f t="shared" si="64"/>
        <v>9.2096644751345318E-3</v>
      </c>
      <c r="DO54" s="20">
        <f t="shared" si="65"/>
        <v>3.6364190382535641E-3</v>
      </c>
      <c r="DP54" s="20">
        <f t="shared" si="66"/>
        <v>1.4358333530410969E-3</v>
      </c>
      <c r="DQ54" s="20">
        <f t="shared" si="67"/>
        <v>5.6693615231499328E-4</v>
      </c>
      <c r="DR54" s="20">
        <f t="shared" si="68"/>
        <v>2.2385369452667772E-4</v>
      </c>
      <c r="DS54" s="20">
        <f t="shared" si="69"/>
        <v>8.8388218582732665E-5</v>
      </c>
      <c r="DT54" s="20">
        <f t="shared" si="70"/>
        <v>3.4899925153116278E-5</v>
      </c>
      <c r="DU54" s="20">
        <f t="shared" si="71"/>
        <v>1.3780171104512806E-5</v>
      </c>
      <c r="DV54" s="20">
        <f t="shared" si="72"/>
        <v>5.4410751552197585E-6</v>
      </c>
      <c r="DW54" s="20">
        <f t="shared" si="73"/>
        <v>2.1483984937643062E-6</v>
      </c>
      <c r="DX54" s="20">
        <f t="shared" si="74"/>
        <v>8.4829118443270635E-7</v>
      </c>
      <c r="DY54" s="20">
        <f t="shared" si="75"/>
        <v>3.3494621024677948E-7</v>
      </c>
      <c r="DZ54" s="20">
        <f t="shared" si="76"/>
        <v>1.3225289360245567E-7</v>
      </c>
      <c r="EA54" s="20">
        <f t="shared" si="77"/>
        <v>5.2219811214868452E-8</v>
      </c>
      <c r="EB54" s="20">
        <f t="shared" si="78"/>
        <v>2.0618896184709772E-8</v>
      </c>
      <c r="EC54" s="20">
        <f t="shared" si="79"/>
        <v>8.1413331451261602E-9</v>
      </c>
      <c r="ED54" s="20">
        <f t="shared" si="80"/>
        <v>3.2145903828295923E-9</v>
      </c>
      <c r="EE54" s="20">
        <f t="shared" si="81"/>
        <v>1.2692750861775935E-9</v>
      </c>
      <c r="EF54" s="24">
        <f t="shared" si="82"/>
        <v>36.620875384152697</v>
      </c>
    </row>
    <row r="55" spans="6:136" ht="15" customHeight="1" x14ac:dyDescent="0.25">
      <c r="F55" s="34"/>
      <c r="G55" s="16">
        <f t="shared" si="36"/>
        <v>300</v>
      </c>
      <c r="H55" s="17">
        <f t="shared" si="83"/>
        <v>118.45444691446514</v>
      </c>
      <c r="I55" s="17">
        <f t="shared" si="84"/>
        <v>46.771519980277262</v>
      </c>
      <c r="J55" s="17">
        <f t="shared" si="85"/>
        <v>18.467648438023144</v>
      </c>
      <c r="K55" s="17">
        <f t="shared" si="86"/>
        <v>7.2919169453029777</v>
      </c>
      <c r="L55" s="17">
        <f t="shared" si="87"/>
        <v>2.8791999797365877</v>
      </c>
      <c r="M55" s="17">
        <f t="shared" si="88"/>
        <v>1.1368468479330263</v>
      </c>
      <c r="N55" s="17">
        <f t="shared" si="89"/>
        <v>0.4488819936416657</v>
      </c>
      <c r="O55" s="17">
        <f t="shared" si="90"/>
        <v>0.17724051038538166</v>
      </c>
      <c r="P55" s="17">
        <f t="shared" si="91"/>
        <v>6.998380489437428E-2</v>
      </c>
      <c r="Q55" s="17">
        <f t="shared" si="92"/>
        <v>2.7634790030729509E-2</v>
      </c>
      <c r="R55" s="17">
        <f t="shared" si="93"/>
        <v>1.0916139285953969E-2</v>
      </c>
      <c r="S55" s="17">
        <f t="shared" si="94"/>
        <v>4.3218507802320468E-3</v>
      </c>
      <c r="T55" s="17">
        <f t="shared" si="42"/>
        <v>1.7359375522520962E-3</v>
      </c>
      <c r="U55" s="17">
        <f t="shared" si="43"/>
        <v>7.600496402729004E-4</v>
      </c>
      <c r="V55" s="17">
        <f t="shared" si="44"/>
        <v>4.8908291665620478E-4</v>
      </c>
      <c r="W55" s="17">
        <f t="shared" si="45"/>
        <v>6.7172460563384923E-4</v>
      </c>
      <c r="X55" s="17">
        <f t="shared" si="46"/>
        <v>1.4773689015013898E-3</v>
      </c>
      <c r="Y55" s="17">
        <f t="shared" si="47"/>
        <v>3.6532245447780669E-3</v>
      </c>
      <c r="Z55" s="17">
        <f t="shared" si="48"/>
        <v>9.2173264959345223E-3</v>
      </c>
      <c r="AA55" s="17">
        <f t="shared" si="49"/>
        <v>2.3330197373165804E-2</v>
      </c>
      <c r="AB55" s="17">
        <f t="shared" si="50"/>
        <v>5.9081063435972983E-2</v>
      </c>
      <c r="AC55" s="17">
        <f t="shared" si="51"/>
        <v>0.14962768393404643</v>
      </c>
      <c r="AD55" s="17">
        <f t="shared" si="52"/>
        <v>0.37894908858022486</v>
      </c>
      <c r="AE55" s="17">
        <f t="shared" si="53"/>
        <v>0.95973338156478072</v>
      </c>
      <c r="AF55" s="17">
        <f t="shared" si="54"/>
        <v>2.4306390034679204</v>
      </c>
      <c r="AG55" s="17">
        <f t="shared" si="55"/>
        <v>6.1558828212152665</v>
      </c>
      <c r="AH55" s="17">
        <f t="shared" si="56"/>
        <v>15.590506663395324</v>
      </c>
      <c r="AI55" s="17">
        <f t="shared" si="41"/>
        <v>39.484815639283291</v>
      </c>
      <c r="AJ55" s="16">
        <f t="shared" si="37"/>
        <v>100</v>
      </c>
      <c r="AN55" s="39"/>
      <c r="AO55" s="18">
        <f t="shared" si="4"/>
        <v>-1076400000</v>
      </c>
      <c r="AP55" s="19">
        <f t="shared" si="5"/>
        <v>0</v>
      </c>
      <c r="AQ55" s="19">
        <f t="shared" si="6"/>
        <v>0</v>
      </c>
      <c r="AR55" s="19">
        <f t="shared" si="7"/>
        <v>0</v>
      </c>
      <c r="AS55" s="19">
        <f t="shared" si="8"/>
        <v>0</v>
      </c>
      <c r="AT55" s="19">
        <f t="shared" si="9"/>
        <v>0</v>
      </c>
      <c r="AU55" s="19">
        <f t="shared" si="10"/>
        <v>0</v>
      </c>
      <c r="AV55" s="19">
        <f t="shared" si="11"/>
        <v>0</v>
      </c>
      <c r="AW55" s="19">
        <f t="shared" si="12"/>
        <v>0</v>
      </c>
      <c r="AX55" s="19">
        <f t="shared" si="13"/>
        <v>0</v>
      </c>
      <c r="AY55" s="19">
        <f t="shared" si="14"/>
        <v>0</v>
      </c>
      <c r="AZ55" s="19">
        <f t="shared" si="15"/>
        <v>0</v>
      </c>
      <c r="BA55" s="19">
        <f t="shared" si="16"/>
        <v>0</v>
      </c>
      <c r="BB55" s="19">
        <f t="shared" si="17"/>
        <v>0</v>
      </c>
      <c r="BC55" s="19">
        <f t="shared" si="18"/>
        <v>0</v>
      </c>
      <c r="BD55" s="19">
        <f t="shared" si="19"/>
        <v>0</v>
      </c>
      <c r="BE55" s="19">
        <f t="shared" si="20"/>
        <v>0</v>
      </c>
      <c r="BF55" s="19">
        <f t="shared" si="21"/>
        <v>0</v>
      </c>
      <c r="BG55" s="19">
        <f t="shared" si="22"/>
        <v>0</v>
      </c>
      <c r="BH55" s="19">
        <f t="shared" si="23"/>
        <v>0</v>
      </c>
      <c r="BI55" s="19">
        <f t="shared" si="24"/>
        <v>0</v>
      </c>
      <c r="BJ55" s="19">
        <f t="shared" si="25"/>
        <v>0</v>
      </c>
      <c r="BK55" s="19">
        <f t="shared" si="26"/>
        <v>0</v>
      </c>
      <c r="BL55" s="19">
        <f t="shared" si="27"/>
        <v>0</v>
      </c>
      <c r="BM55" s="19">
        <f t="shared" si="28"/>
        <v>0</v>
      </c>
      <c r="BN55" s="19">
        <f t="shared" si="29"/>
        <v>0</v>
      </c>
      <c r="BO55" s="19">
        <f t="shared" si="30"/>
        <v>0</v>
      </c>
      <c r="BP55" s="19">
        <f t="shared" si="31"/>
        <v>0</v>
      </c>
      <c r="BQ55" s="19">
        <f t="shared" si="32"/>
        <v>0</v>
      </c>
      <c r="BR55" s="18">
        <f t="shared" si="33"/>
        <v>-358800000</v>
      </c>
      <c r="BU55" s="37"/>
      <c r="BV55" s="24">
        <v>0</v>
      </c>
      <c r="BW55" s="20">
        <f t="shared" si="38"/>
        <v>0.3415922014622258</v>
      </c>
      <c r="BX55" s="20">
        <f t="shared" si="57"/>
        <v>0.3867162803971414</v>
      </c>
      <c r="BY55" s="20">
        <f t="shared" si="57"/>
        <v>0.39358441341045353</v>
      </c>
      <c r="BZ55" s="20">
        <f t="shared" si="57"/>
        <v>0.39465123071155611</v>
      </c>
      <c r="CA55" s="20">
        <f t="shared" si="57"/>
        <v>0.39481745705771337</v>
      </c>
      <c r="CB55" s="20">
        <f t="shared" si="57"/>
        <v>0.39484337025824801</v>
      </c>
      <c r="CC55" s="20">
        <f t="shared" si="57"/>
        <v>0.39484741020089792</v>
      </c>
      <c r="CD55" s="20">
        <f t="shared" si="57"/>
        <v>0.39484804004704999</v>
      </c>
      <c r="CE55" s="20">
        <f t="shared" si="57"/>
        <v>0.39484813824322279</v>
      </c>
      <c r="CF55" s="20">
        <f t="shared" si="57"/>
        <v>0.39484815355250286</v>
      </c>
      <c r="CG55" s="20">
        <f t="shared" si="57"/>
        <v>0.39484815593929717</v>
      </c>
      <c r="CH55" s="20">
        <f t="shared" si="57"/>
        <v>0.39484815631141046</v>
      </c>
      <c r="CI55" s="20">
        <f t="shared" si="57"/>
        <v>0.39484815636942483</v>
      </c>
      <c r="CJ55" s="20">
        <f t="shared" si="57"/>
        <v>0.39484815637846954</v>
      </c>
      <c r="CK55" s="20">
        <f t="shared" si="57"/>
        <v>0.39484815637987963</v>
      </c>
      <c r="CL55" s="20">
        <f t="shared" si="57"/>
        <v>0.39484815638009951</v>
      </c>
      <c r="CM55" s="20">
        <f t="shared" si="57"/>
        <v>0.39484815638013382</v>
      </c>
      <c r="CN55" s="20">
        <f t="shared" si="57"/>
        <v>0.39484815638013915</v>
      </c>
      <c r="CO55" s="20">
        <f t="shared" si="57"/>
        <v>0.39484815638013998</v>
      </c>
      <c r="CP55" s="20">
        <f t="shared" si="57"/>
        <v>0.39484815638014015</v>
      </c>
      <c r="CQ55" s="20">
        <f t="shared" si="57"/>
        <v>0.39484815638014015</v>
      </c>
      <c r="CR55" s="20">
        <f t="shared" si="57"/>
        <v>0.39484815638014015</v>
      </c>
      <c r="CS55" s="20">
        <f t="shared" ref="BX55:CY64" si="98">$C$18/($C$19-$C$20*CR55)</f>
        <v>0.39484815638014015</v>
      </c>
      <c r="CT55" s="20">
        <f t="shared" si="98"/>
        <v>0.39484815638014015</v>
      </c>
      <c r="CU55" s="20">
        <f t="shared" si="98"/>
        <v>0.39484815638014015</v>
      </c>
      <c r="CV55" s="20">
        <f t="shared" si="98"/>
        <v>0.39484815638014015</v>
      </c>
      <c r="CW55" s="20">
        <f t="shared" si="98"/>
        <v>0.39484815638014015</v>
      </c>
      <c r="CX55" s="20">
        <f t="shared" si="98"/>
        <v>0.39484815638014015</v>
      </c>
      <c r="CY55" s="24">
        <f t="shared" si="98"/>
        <v>0.39484815638014015</v>
      </c>
      <c r="DB55" s="37"/>
      <c r="DC55" s="16">
        <f t="shared" si="39"/>
        <v>300</v>
      </c>
      <c r="DD55" s="20">
        <f t="shared" si="40"/>
        <v>102.47766043866774</v>
      </c>
      <c r="DE55" s="20">
        <f t="shared" si="95"/>
        <v>39.629779668642875</v>
      </c>
      <c r="DF55" s="20">
        <f t="shared" si="96"/>
        <v>15.597663584468325</v>
      </c>
      <c r="DG55" s="20">
        <f t="shared" si="97"/>
        <v>6.1556371298352461</v>
      </c>
      <c r="DH55" s="20">
        <f t="shared" si="58"/>
        <v>2.4303529981715934</v>
      </c>
      <c r="DI55" s="20">
        <f t="shared" si="59"/>
        <v>0.95960876871530965</v>
      </c>
      <c r="DJ55" s="20">
        <f t="shared" si="60"/>
        <v>0.37889903713331241</v>
      </c>
      <c r="DK55" s="20">
        <f t="shared" si="61"/>
        <v>0.14960754218780284</v>
      </c>
      <c r="DL55" s="20">
        <f t="shared" si="62"/>
        <v>5.9072259499998357E-2</v>
      </c>
      <c r="DM55" s="20">
        <f t="shared" si="63"/>
        <v>2.3324572589748647E-2</v>
      </c>
      <c r="DN55" s="20">
        <f t="shared" si="64"/>
        <v>9.2096644751345318E-3</v>
      </c>
      <c r="DO55" s="20">
        <f t="shared" si="65"/>
        <v>3.6364190382535641E-3</v>
      </c>
      <c r="DP55" s="20">
        <f t="shared" si="66"/>
        <v>1.4358333530410969E-3</v>
      </c>
      <c r="DQ55" s="20">
        <f t="shared" si="67"/>
        <v>5.6693615231499328E-4</v>
      </c>
      <c r="DR55" s="20">
        <f t="shared" si="68"/>
        <v>2.2385369452667772E-4</v>
      </c>
      <c r="DS55" s="20">
        <f t="shared" si="69"/>
        <v>8.8388218582732665E-5</v>
      </c>
      <c r="DT55" s="20">
        <f t="shared" si="70"/>
        <v>3.4899925153116278E-5</v>
      </c>
      <c r="DU55" s="20">
        <f t="shared" si="71"/>
        <v>1.3780171104512806E-5</v>
      </c>
      <c r="DV55" s="20">
        <f t="shared" si="72"/>
        <v>5.4410751552197585E-6</v>
      </c>
      <c r="DW55" s="20">
        <f t="shared" si="73"/>
        <v>2.1483984937643062E-6</v>
      </c>
      <c r="DX55" s="20">
        <f t="shared" si="74"/>
        <v>8.4829118443270635E-7</v>
      </c>
      <c r="DY55" s="20">
        <f t="shared" si="75"/>
        <v>3.3494621024677948E-7</v>
      </c>
      <c r="DZ55" s="20">
        <f t="shared" si="76"/>
        <v>1.3225289360245567E-7</v>
      </c>
      <c r="EA55" s="20">
        <f t="shared" si="77"/>
        <v>5.2219811214868452E-8</v>
      </c>
      <c r="EB55" s="20">
        <f t="shared" si="78"/>
        <v>2.0618896184709772E-8</v>
      </c>
      <c r="EC55" s="20">
        <f t="shared" si="79"/>
        <v>8.1413331451261602E-9</v>
      </c>
      <c r="ED55" s="20">
        <f t="shared" si="80"/>
        <v>3.2145903828295923E-9</v>
      </c>
      <c r="EE55" s="20">
        <f t="shared" si="81"/>
        <v>1.2692750861775935E-9</v>
      </c>
      <c r="EF55" s="24">
        <f t="shared" si="82"/>
        <v>36.620875384152697</v>
      </c>
    </row>
    <row r="56" spans="6:136" ht="15" customHeight="1" x14ac:dyDescent="0.25">
      <c r="F56" s="34"/>
      <c r="G56" s="16">
        <f t="shared" si="36"/>
        <v>300</v>
      </c>
      <c r="H56" s="17">
        <f t="shared" si="83"/>
        <v>118.45444691446514</v>
      </c>
      <c r="I56" s="17">
        <f t="shared" si="84"/>
        <v>46.771519980277262</v>
      </c>
      <c r="J56" s="17">
        <f t="shared" si="85"/>
        <v>18.467648438023144</v>
      </c>
      <c r="K56" s="17">
        <f t="shared" si="86"/>
        <v>7.2919169453029777</v>
      </c>
      <c r="L56" s="17">
        <f t="shared" si="87"/>
        <v>2.8791999797365877</v>
      </c>
      <c r="M56" s="17">
        <f t="shared" si="88"/>
        <v>1.1368468479330263</v>
      </c>
      <c r="N56" s="17">
        <f t="shared" si="89"/>
        <v>0.4488819936416657</v>
      </c>
      <c r="O56" s="17">
        <f t="shared" si="90"/>
        <v>0.17724051038538166</v>
      </c>
      <c r="P56" s="17">
        <f t="shared" si="91"/>
        <v>6.998380489437428E-2</v>
      </c>
      <c r="Q56" s="17">
        <f t="shared" si="92"/>
        <v>2.7634790030729509E-2</v>
      </c>
      <c r="R56" s="17">
        <f t="shared" si="93"/>
        <v>1.0916139285953969E-2</v>
      </c>
      <c r="S56" s="17">
        <f t="shared" si="94"/>
        <v>4.3218507802320468E-3</v>
      </c>
      <c r="T56" s="17">
        <f t="shared" si="42"/>
        <v>1.7359375522520962E-3</v>
      </c>
      <c r="U56" s="17">
        <f t="shared" si="43"/>
        <v>7.600496402729004E-4</v>
      </c>
      <c r="V56" s="17">
        <f t="shared" si="44"/>
        <v>4.8908291665620478E-4</v>
      </c>
      <c r="W56" s="17">
        <f t="shared" si="45"/>
        <v>6.7172460563384923E-4</v>
      </c>
      <c r="X56" s="17">
        <f t="shared" si="46"/>
        <v>1.4773689015013898E-3</v>
      </c>
      <c r="Y56" s="17">
        <f t="shared" si="47"/>
        <v>3.6532245447780669E-3</v>
      </c>
      <c r="Z56" s="17">
        <f t="shared" si="48"/>
        <v>9.2173264959345223E-3</v>
      </c>
      <c r="AA56" s="17">
        <f t="shared" si="49"/>
        <v>2.3330197373165804E-2</v>
      </c>
      <c r="AB56" s="17">
        <f t="shared" si="50"/>
        <v>5.9081063435972983E-2</v>
      </c>
      <c r="AC56" s="17">
        <f t="shared" si="51"/>
        <v>0.14962768393404643</v>
      </c>
      <c r="AD56" s="17">
        <f t="shared" si="52"/>
        <v>0.37894908858022486</v>
      </c>
      <c r="AE56" s="17">
        <f t="shared" si="53"/>
        <v>0.95973338156478072</v>
      </c>
      <c r="AF56" s="17">
        <f t="shared" si="54"/>
        <v>2.4306390034679204</v>
      </c>
      <c r="AG56" s="17">
        <f t="shared" si="55"/>
        <v>6.1558828212152665</v>
      </c>
      <c r="AH56" s="17">
        <f t="shared" si="56"/>
        <v>15.590506663395324</v>
      </c>
      <c r="AI56" s="17">
        <f t="shared" si="41"/>
        <v>39.484815639283291</v>
      </c>
      <c r="AJ56" s="16">
        <f t="shared" si="37"/>
        <v>100</v>
      </c>
      <c r="AN56" s="39"/>
      <c r="AO56" s="18">
        <f t="shared" si="4"/>
        <v>-1076400000</v>
      </c>
      <c r="AP56" s="19">
        <f t="shared" si="5"/>
        <v>0</v>
      </c>
      <c r="AQ56" s="19">
        <f t="shared" si="6"/>
        <v>0</v>
      </c>
      <c r="AR56" s="19">
        <f t="shared" si="7"/>
        <v>0</v>
      </c>
      <c r="AS56" s="19">
        <f t="shared" si="8"/>
        <v>0</v>
      </c>
      <c r="AT56" s="19">
        <f t="shared" si="9"/>
        <v>0</v>
      </c>
      <c r="AU56" s="19">
        <f t="shared" si="10"/>
        <v>0</v>
      </c>
      <c r="AV56" s="19">
        <f t="shared" si="11"/>
        <v>0</v>
      </c>
      <c r="AW56" s="19">
        <f t="shared" si="12"/>
        <v>0</v>
      </c>
      <c r="AX56" s="19">
        <f t="shared" si="13"/>
        <v>0</v>
      </c>
      <c r="AY56" s="19">
        <f t="shared" si="14"/>
        <v>0</v>
      </c>
      <c r="AZ56" s="19">
        <f t="shared" si="15"/>
        <v>0</v>
      </c>
      <c r="BA56" s="19">
        <f t="shared" si="16"/>
        <v>0</v>
      </c>
      <c r="BB56" s="19">
        <f t="shared" si="17"/>
        <v>0</v>
      </c>
      <c r="BC56" s="19">
        <f t="shared" si="18"/>
        <v>0</v>
      </c>
      <c r="BD56" s="19">
        <f t="shared" si="19"/>
        <v>0</v>
      </c>
      <c r="BE56" s="19">
        <f t="shared" si="20"/>
        <v>0</v>
      </c>
      <c r="BF56" s="19">
        <f t="shared" si="21"/>
        <v>0</v>
      </c>
      <c r="BG56" s="19">
        <f t="shared" si="22"/>
        <v>0</v>
      </c>
      <c r="BH56" s="19">
        <f t="shared" si="23"/>
        <v>0</v>
      </c>
      <c r="BI56" s="19">
        <f t="shared" si="24"/>
        <v>0</v>
      </c>
      <c r="BJ56" s="19">
        <f t="shared" si="25"/>
        <v>0</v>
      </c>
      <c r="BK56" s="19">
        <f t="shared" si="26"/>
        <v>0</v>
      </c>
      <c r="BL56" s="19">
        <f t="shared" si="27"/>
        <v>0</v>
      </c>
      <c r="BM56" s="19">
        <f t="shared" si="28"/>
        <v>0</v>
      </c>
      <c r="BN56" s="19">
        <f t="shared" si="29"/>
        <v>0</v>
      </c>
      <c r="BO56" s="19">
        <f t="shared" si="30"/>
        <v>0</v>
      </c>
      <c r="BP56" s="19">
        <f t="shared" si="31"/>
        <v>0</v>
      </c>
      <c r="BQ56" s="19">
        <f t="shared" si="32"/>
        <v>0</v>
      </c>
      <c r="BR56" s="18">
        <f t="shared" si="33"/>
        <v>-358800000</v>
      </c>
      <c r="BU56" s="37"/>
      <c r="BV56" s="24">
        <v>0</v>
      </c>
      <c r="BW56" s="20">
        <f t="shared" si="38"/>
        <v>0.3415922014622258</v>
      </c>
      <c r="BX56" s="20">
        <f t="shared" si="98"/>
        <v>0.3867162803971414</v>
      </c>
      <c r="BY56" s="20">
        <f t="shared" si="98"/>
        <v>0.39358441341045353</v>
      </c>
      <c r="BZ56" s="20">
        <f t="shared" si="98"/>
        <v>0.39465123071155611</v>
      </c>
      <c r="CA56" s="20">
        <f t="shared" si="98"/>
        <v>0.39481745705771337</v>
      </c>
      <c r="CB56" s="20">
        <f t="shared" si="98"/>
        <v>0.39484337025824801</v>
      </c>
      <c r="CC56" s="20">
        <f t="shared" si="98"/>
        <v>0.39484741020089792</v>
      </c>
      <c r="CD56" s="20">
        <f t="shared" si="98"/>
        <v>0.39484804004704999</v>
      </c>
      <c r="CE56" s="20">
        <f t="shared" si="98"/>
        <v>0.39484813824322279</v>
      </c>
      <c r="CF56" s="20">
        <f t="shared" si="98"/>
        <v>0.39484815355250286</v>
      </c>
      <c r="CG56" s="20">
        <f t="shared" si="98"/>
        <v>0.39484815593929717</v>
      </c>
      <c r="CH56" s="20">
        <f t="shared" si="98"/>
        <v>0.39484815631141046</v>
      </c>
      <c r="CI56" s="20">
        <f t="shared" si="98"/>
        <v>0.39484815636942483</v>
      </c>
      <c r="CJ56" s="20">
        <f t="shared" si="98"/>
        <v>0.39484815637846954</v>
      </c>
      <c r="CK56" s="20">
        <f t="shared" si="98"/>
        <v>0.39484815637987963</v>
      </c>
      <c r="CL56" s="20">
        <f t="shared" si="98"/>
        <v>0.39484815638009951</v>
      </c>
      <c r="CM56" s="20">
        <f t="shared" si="98"/>
        <v>0.39484815638013382</v>
      </c>
      <c r="CN56" s="20">
        <f t="shared" si="98"/>
        <v>0.39484815638013915</v>
      </c>
      <c r="CO56" s="20">
        <f t="shared" si="98"/>
        <v>0.39484815638013998</v>
      </c>
      <c r="CP56" s="20">
        <f t="shared" si="98"/>
        <v>0.39484815638014015</v>
      </c>
      <c r="CQ56" s="20">
        <f t="shared" si="98"/>
        <v>0.39484815638014015</v>
      </c>
      <c r="CR56" s="20">
        <f t="shared" si="98"/>
        <v>0.39484815638014015</v>
      </c>
      <c r="CS56" s="20">
        <f t="shared" si="98"/>
        <v>0.39484815638014015</v>
      </c>
      <c r="CT56" s="20">
        <f t="shared" si="98"/>
        <v>0.39484815638014015</v>
      </c>
      <c r="CU56" s="20">
        <f t="shared" si="98"/>
        <v>0.39484815638014015</v>
      </c>
      <c r="CV56" s="20">
        <f t="shared" si="98"/>
        <v>0.39484815638014015</v>
      </c>
      <c r="CW56" s="20">
        <f t="shared" si="98"/>
        <v>0.39484815638014015</v>
      </c>
      <c r="CX56" s="20">
        <f t="shared" si="98"/>
        <v>0.39484815638014015</v>
      </c>
      <c r="CY56" s="24">
        <f t="shared" si="98"/>
        <v>0.39484815638014015</v>
      </c>
      <c r="DB56" s="37"/>
      <c r="DC56" s="16">
        <f t="shared" si="39"/>
        <v>300</v>
      </c>
      <c r="DD56" s="20">
        <f t="shared" si="40"/>
        <v>102.47766043866774</v>
      </c>
      <c r="DE56" s="20">
        <f t="shared" si="95"/>
        <v>39.629779668642875</v>
      </c>
      <c r="DF56" s="20">
        <f t="shared" si="96"/>
        <v>15.597663584468325</v>
      </c>
      <c r="DG56" s="20">
        <f t="shared" si="97"/>
        <v>6.1556371298352461</v>
      </c>
      <c r="DH56" s="20">
        <f t="shared" si="58"/>
        <v>2.4303529981715934</v>
      </c>
      <c r="DI56" s="20">
        <f t="shared" si="59"/>
        <v>0.95960876871530965</v>
      </c>
      <c r="DJ56" s="20">
        <f t="shared" si="60"/>
        <v>0.37889903713331241</v>
      </c>
      <c r="DK56" s="20">
        <f t="shared" si="61"/>
        <v>0.14960754218780284</v>
      </c>
      <c r="DL56" s="20">
        <f t="shared" si="62"/>
        <v>5.9072259499998357E-2</v>
      </c>
      <c r="DM56" s="20">
        <f t="shared" si="63"/>
        <v>2.3324572589748647E-2</v>
      </c>
      <c r="DN56" s="20">
        <f t="shared" si="64"/>
        <v>9.2096644751345318E-3</v>
      </c>
      <c r="DO56" s="20">
        <f t="shared" si="65"/>
        <v>3.6364190382535641E-3</v>
      </c>
      <c r="DP56" s="20">
        <f t="shared" si="66"/>
        <v>1.4358333530410969E-3</v>
      </c>
      <c r="DQ56" s="20">
        <f t="shared" si="67"/>
        <v>5.6693615231499328E-4</v>
      </c>
      <c r="DR56" s="20">
        <f t="shared" si="68"/>
        <v>2.2385369452667772E-4</v>
      </c>
      <c r="DS56" s="20">
        <f t="shared" si="69"/>
        <v>8.8388218582732665E-5</v>
      </c>
      <c r="DT56" s="20">
        <f t="shared" si="70"/>
        <v>3.4899925153116278E-5</v>
      </c>
      <c r="DU56" s="20">
        <f t="shared" si="71"/>
        <v>1.3780171104512806E-5</v>
      </c>
      <c r="DV56" s="20">
        <f t="shared" si="72"/>
        <v>5.4410751552197585E-6</v>
      </c>
      <c r="DW56" s="20">
        <f t="shared" si="73"/>
        <v>2.1483984937643062E-6</v>
      </c>
      <c r="DX56" s="20">
        <f t="shared" si="74"/>
        <v>8.4829118443270635E-7</v>
      </c>
      <c r="DY56" s="20">
        <f t="shared" si="75"/>
        <v>3.3494621024677948E-7</v>
      </c>
      <c r="DZ56" s="20">
        <f t="shared" si="76"/>
        <v>1.3225289360245567E-7</v>
      </c>
      <c r="EA56" s="20">
        <f t="shared" si="77"/>
        <v>5.2219811214868452E-8</v>
      </c>
      <c r="EB56" s="20">
        <f t="shared" si="78"/>
        <v>2.0618896184709772E-8</v>
      </c>
      <c r="EC56" s="20">
        <f t="shared" si="79"/>
        <v>8.1413331451261602E-9</v>
      </c>
      <c r="ED56" s="20">
        <f t="shared" si="80"/>
        <v>3.2145903828295923E-9</v>
      </c>
      <c r="EE56" s="20">
        <f t="shared" si="81"/>
        <v>1.2692750861775935E-9</v>
      </c>
      <c r="EF56" s="24">
        <f t="shared" si="82"/>
        <v>36.620875384152697</v>
      </c>
    </row>
    <row r="57" spans="6:136" ht="15" customHeight="1" x14ac:dyDescent="0.25">
      <c r="F57" s="34"/>
      <c r="G57" s="16">
        <f t="shared" si="36"/>
        <v>300</v>
      </c>
      <c r="H57" s="17">
        <f t="shared" si="83"/>
        <v>118.45444691446514</v>
      </c>
      <c r="I57" s="17">
        <f t="shared" si="84"/>
        <v>46.771519980277262</v>
      </c>
      <c r="J57" s="17">
        <f t="shared" si="85"/>
        <v>18.467648438023144</v>
      </c>
      <c r="K57" s="17">
        <f t="shared" si="86"/>
        <v>7.2919169453029777</v>
      </c>
      <c r="L57" s="17">
        <f t="shared" si="87"/>
        <v>2.8791999797365877</v>
      </c>
      <c r="M57" s="17">
        <f t="shared" si="88"/>
        <v>1.1368468479330263</v>
      </c>
      <c r="N57" s="17">
        <f t="shared" si="89"/>
        <v>0.4488819936416657</v>
      </c>
      <c r="O57" s="17">
        <f t="shared" si="90"/>
        <v>0.17724051038538166</v>
      </c>
      <c r="P57" s="17">
        <f t="shared" si="91"/>
        <v>6.998380489437428E-2</v>
      </c>
      <c r="Q57" s="17">
        <f t="shared" si="92"/>
        <v>2.7634790030729509E-2</v>
      </c>
      <c r="R57" s="17">
        <f t="shared" si="93"/>
        <v>1.0916139285953969E-2</v>
      </c>
      <c r="S57" s="17">
        <f t="shared" si="94"/>
        <v>4.3218507802320468E-3</v>
      </c>
      <c r="T57" s="17">
        <f t="shared" si="42"/>
        <v>1.7359375522520962E-3</v>
      </c>
      <c r="U57" s="17">
        <f t="shared" si="43"/>
        <v>7.600496402729004E-4</v>
      </c>
      <c r="V57" s="17">
        <f t="shared" si="44"/>
        <v>4.8908291665620478E-4</v>
      </c>
      <c r="W57" s="17">
        <f t="shared" si="45"/>
        <v>6.7172460563384923E-4</v>
      </c>
      <c r="X57" s="17">
        <f t="shared" si="46"/>
        <v>1.4773689015013898E-3</v>
      </c>
      <c r="Y57" s="17">
        <f t="shared" si="47"/>
        <v>3.6532245447780669E-3</v>
      </c>
      <c r="Z57" s="17">
        <f t="shared" si="48"/>
        <v>9.2173264959345223E-3</v>
      </c>
      <c r="AA57" s="17">
        <f t="shared" si="49"/>
        <v>2.3330197373165804E-2</v>
      </c>
      <c r="AB57" s="17">
        <f t="shared" si="50"/>
        <v>5.9081063435972983E-2</v>
      </c>
      <c r="AC57" s="17">
        <f t="shared" si="51"/>
        <v>0.14962768393404643</v>
      </c>
      <c r="AD57" s="17">
        <f t="shared" si="52"/>
        <v>0.37894908858022486</v>
      </c>
      <c r="AE57" s="17">
        <f t="shared" si="53"/>
        <v>0.95973338156478072</v>
      </c>
      <c r="AF57" s="17">
        <f t="shared" si="54"/>
        <v>2.4306390034679204</v>
      </c>
      <c r="AG57" s="17">
        <f t="shared" si="55"/>
        <v>6.1558828212152665</v>
      </c>
      <c r="AH57" s="17">
        <f t="shared" si="56"/>
        <v>15.590506663395324</v>
      </c>
      <c r="AI57" s="17">
        <f t="shared" si="41"/>
        <v>39.484815639283291</v>
      </c>
      <c r="AJ57" s="16">
        <f t="shared" si="37"/>
        <v>100</v>
      </c>
      <c r="AN57" s="39"/>
      <c r="AO57" s="18">
        <f t="shared" si="4"/>
        <v>-1076400000</v>
      </c>
      <c r="AP57" s="19">
        <f t="shared" si="5"/>
        <v>0</v>
      </c>
      <c r="AQ57" s="19">
        <f t="shared" si="6"/>
        <v>0</v>
      </c>
      <c r="AR57" s="19">
        <f t="shared" si="7"/>
        <v>0</v>
      </c>
      <c r="AS57" s="19">
        <f t="shared" si="8"/>
        <v>0</v>
      </c>
      <c r="AT57" s="19">
        <f t="shared" si="9"/>
        <v>0</v>
      </c>
      <c r="AU57" s="19">
        <f t="shared" si="10"/>
        <v>0</v>
      </c>
      <c r="AV57" s="19">
        <f t="shared" si="11"/>
        <v>0</v>
      </c>
      <c r="AW57" s="19">
        <f t="shared" si="12"/>
        <v>0</v>
      </c>
      <c r="AX57" s="19">
        <f t="shared" si="13"/>
        <v>0</v>
      </c>
      <c r="AY57" s="19">
        <f t="shared" si="14"/>
        <v>0</v>
      </c>
      <c r="AZ57" s="19">
        <f t="shared" si="15"/>
        <v>0</v>
      </c>
      <c r="BA57" s="19">
        <f t="shared" si="16"/>
        <v>0</v>
      </c>
      <c r="BB57" s="19">
        <f t="shared" si="17"/>
        <v>0</v>
      </c>
      <c r="BC57" s="19">
        <f t="shared" si="18"/>
        <v>0</v>
      </c>
      <c r="BD57" s="19">
        <f t="shared" si="19"/>
        <v>0</v>
      </c>
      <c r="BE57" s="19">
        <f t="shared" si="20"/>
        <v>0</v>
      </c>
      <c r="BF57" s="19">
        <f t="shared" si="21"/>
        <v>0</v>
      </c>
      <c r="BG57" s="19">
        <f t="shared" si="22"/>
        <v>0</v>
      </c>
      <c r="BH57" s="19">
        <f t="shared" si="23"/>
        <v>0</v>
      </c>
      <c r="BI57" s="19">
        <f t="shared" si="24"/>
        <v>0</v>
      </c>
      <c r="BJ57" s="19">
        <f t="shared" si="25"/>
        <v>0</v>
      </c>
      <c r="BK57" s="19">
        <f t="shared" si="26"/>
        <v>0</v>
      </c>
      <c r="BL57" s="19">
        <f t="shared" si="27"/>
        <v>0</v>
      </c>
      <c r="BM57" s="19">
        <f t="shared" si="28"/>
        <v>0</v>
      </c>
      <c r="BN57" s="19">
        <f t="shared" si="29"/>
        <v>0</v>
      </c>
      <c r="BO57" s="19">
        <f t="shared" si="30"/>
        <v>0</v>
      </c>
      <c r="BP57" s="19">
        <f t="shared" si="31"/>
        <v>0</v>
      </c>
      <c r="BQ57" s="19">
        <f t="shared" si="32"/>
        <v>0</v>
      </c>
      <c r="BR57" s="18">
        <f t="shared" si="33"/>
        <v>-358800000</v>
      </c>
      <c r="BU57" s="37"/>
      <c r="BV57" s="24">
        <v>0</v>
      </c>
      <c r="BW57" s="20">
        <f t="shared" si="38"/>
        <v>0.3415922014622258</v>
      </c>
      <c r="BX57" s="20">
        <f t="shared" si="98"/>
        <v>0.3867162803971414</v>
      </c>
      <c r="BY57" s="20">
        <f t="shared" si="98"/>
        <v>0.39358441341045353</v>
      </c>
      <c r="BZ57" s="20">
        <f t="shared" si="98"/>
        <v>0.39465123071155611</v>
      </c>
      <c r="CA57" s="20">
        <f t="shared" si="98"/>
        <v>0.39481745705771337</v>
      </c>
      <c r="CB57" s="20">
        <f t="shared" si="98"/>
        <v>0.39484337025824801</v>
      </c>
      <c r="CC57" s="20">
        <f t="shared" si="98"/>
        <v>0.39484741020089792</v>
      </c>
      <c r="CD57" s="20">
        <f t="shared" si="98"/>
        <v>0.39484804004704999</v>
      </c>
      <c r="CE57" s="20">
        <f t="shared" si="98"/>
        <v>0.39484813824322279</v>
      </c>
      <c r="CF57" s="20">
        <f t="shared" si="98"/>
        <v>0.39484815355250286</v>
      </c>
      <c r="CG57" s="20">
        <f t="shared" si="98"/>
        <v>0.39484815593929717</v>
      </c>
      <c r="CH57" s="20">
        <f t="shared" si="98"/>
        <v>0.39484815631141046</v>
      </c>
      <c r="CI57" s="20">
        <f t="shared" si="98"/>
        <v>0.39484815636942483</v>
      </c>
      <c r="CJ57" s="20">
        <f t="shared" si="98"/>
        <v>0.39484815637846954</v>
      </c>
      <c r="CK57" s="20">
        <f t="shared" si="98"/>
        <v>0.39484815637987963</v>
      </c>
      <c r="CL57" s="20">
        <f t="shared" si="98"/>
        <v>0.39484815638009951</v>
      </c>
      <c r="CM57" s="20">
        <f t="shared" si="98"/>
        <v>0.39484815638013382</v>
      </c>
      <c r="CN57" s="20">
        <f t="shared" si="98"/>
        <v>0.39484815638013915</v>
      </c>
      <c r="CO57" s="20">
        <f t="shared" si="98"/>
        <v>0.39484815638013998</v>
      </c>
      <c r="CP57" s="20">
        <f t="shared" si="98"/>
        <v>0.39484815638014015</v>
      </c>
      <c r="CQ57" s="20">
        <f t="shared" si="98"/>
        <v>0.39484815638014015</v>
      </c>
      <c r="CR57" s="20">
        <f t="shared" si="98"/>
        <v>0.39484815638014015</v>
      </c>
      <c r="CS57" s="20">
        <f t="shared" si="98"/>
        <v>0.39484815638014015</v>
      </c>
      <c r="CT57" s="20">
        <f t="shared" si="98"/>
        <v>0.39484815638014015</v>
      </c>
      <c r="CU57" s="20">
        <f t="shared" si="98"/>
        <v>0.39484815638014015</v>
      </c>
      <c r="CV57" s="20">
        <f t="shared" si="98"/>
        <v>0.39484815638014015</v>
      </c>
      <c r="CW57" s="20">
        <f t="shared" si="98"/>
        <v>0.39484815638014015</v>
      </c>
      <c r="CX57" s="20">
        <f t="shared" si="98"/>
        <v>0.39484815638014015</v>
      </c>
      <c r="CY57" s="24">
        <f t="shared" si="98"/>
        <v>0.39484815638014015</v>
      </c>
      <c r="DB57" s="37"/>
      <c r="DC57" s="16">
        <f t="shared" si="39"/>
        <v>300</v>
      </c>
      <c r="DD57" s="20">
        <f t="shared" si="40"/>
        <v>102.47766043866774</v>
      </c>
      <c r="DE57" s="20">
        <f t="shared" si="95"/>
        <v>39.629779668642875</v>
      </c>
      <c r="DF57" s="20">
        <f t="shared" si="96"/>
        <v>15.597663584468325</v>
      </c>
      <c r="DG57" s="20">
        <f t="shared" si="97"/>
        <v>6.1556371298352461</v>
      </c>
      <c r="DH57" s="20">
        <f t="shared" si="58"/>
        <v>2.4303529981715934</v>
      </c>
      <c r="DI57" s="20">
        <f t="shared" si="59"/>
        <v>0.95960876871530965</v>
      </c>
      <c r="DJ57" s="20">
        <f t="shared" si="60"/>
        <v>0.37889903713331241</v>
      </c>
      <c r="DK57" s="20">
        <f t="shared" si="61"/>
        <v>0.14960754218780284</v>
      </c>
      <c r="DL57" s="20">
        <f t="shared" si="62"/>
        <v>5.9072259499998357E-2</v>
      </c>
      <c r="DM57" s="20">
        <f t="shared" si="63"/>
        <v>2.3324572589748647E-2</v>
      </c>
      <c r="DN57" s="20">
        <f t="shared" si="64"/>
        <v>9.2096644751345318E-3</v>
      </c>
      <c r="DO57" s="20">
        <f t="shared" si="65"/>
        <v>3.6364190382535641E-3</v>
      </c>
      <c r="DP57" s="20">
        <f t="shared" si="66"/>
        <v>1.4358333530410969E-3</v>
      </c>
      <c r="DQ57" s="20">
        <f t="shared" si="67"/>
        <v>5.6693615231499328E-4</v>
      </c>
      <c r="DR57" s="20">
        <f t="shared" si="68"/>
        <v>2.2385369452667772E-4</v>
      </c>
      <c r="DS57" s="20">
        <f t="shared" si="69"/>
        <v>8.8388218582732665E-5</v>
      </c>
      <c r="DT57" s="20">
        <f t="shared" si="70"/>
        <v>3.4899925153116278E-5</v>
      </c>
      <c r="DU57" s="20">
        <f t="shared" si="71"/>
        <v>1.3780171104512806E-5</v>
      </c>
      <c r="DV57" s="20">
        <f t="shared" si="72"/>
        <v>5.4410751552197585E-6</v>
      </c>
      <c r="DW57" s="20">
        <f t="shared" si="73"/>
        <v>2.1483984937643062E-6</v>
      </c>
      <c r="DX57" s="20">
        <f t="shared" si="74"/>
        <v>8.4829118443270635E-7</v>
      </c>
      <c r="DY57" s="20">
        <f t="shared" si="75"/>
        <v>3.3494621024677948E-7</v>
      </c>
      <c r="DZ57" s="20">
        <f t="shared" si="76"/>
        <v>1.3225289360245567E-7</v>
      </c>
      <c r="EA57" s="20">
        <f t="shared" si="77"/>
        <v>5.2219811214868452E-8</v>
      </c>
      <c r="EB57" s="20">
        <f t="shared" si="78"/>
        <v>2.0618896184709772E-8</v>
      </c>
      <c r="EC57" s="20">
        <f t="shared" si="79"/>
        <v>8.1413331451261602E-9</v>
      </c>
      <c r="ED57" s="20">
        <f t="shared" si="80"/>
        <v>3.2145903828295923E-9</v>
      </c>
      <c r="EE57" s="20">
        <f t="shared" si="81"/>
        <v>1.2692750861775935E-9</v>
      </c>
      <c r="EF57" s="24">
        <f t="shared" si="82"/>
        <v>36.620875384152697</v>
      </c>
    </row>
    <row r="58" spans="6:136" ht="15" customHeight="1" x14ac:dyDescent="0.25">
      <c r="F58" s="34"/>
      <c r="G58" s="16">
        <f t="shared" si="36"/>
        <v>300</v>
      </c>
      <c r="H58" s="17">
        <f t="shared" si="83"/>
        <v>118.45444691446514</v>
      </c>
      <c r="I58" s="17">
        <f t="shared" si="84"/>
        <v>46.771519980277262</v>
      </c>
      <c r="J58" s="17">
        <f t="shared" si="85"/>
        <v>18.467648438023144</v>
      </c>
      <c r="K58" s="17">
        <f t="shared" si="86"/>
        <v>7.2919169453029777</v>
      </c>
      <c r="L58" s="17">
        <f t="shared" si="87"/>
        <v>2.8791999797365877</v>
      </c>
      <c r="M58" s="17">
        <f t="shared" si="88"/>
        <v>1.1368468479330263</v>
      </c>
      <c r="N58" s="17">
        <f t="shared" si="89"/>
        <v>0.4488819936416657</v>
      </c>
      <c r="O58" s="17">
        <f t="shared" si="90"/>
        <v>0.17724051038538166</v>
      </c>
      <c r="P58" s="17">
        <f t="shared" si="91"/>
        <v>6.998380489437428E-2</v>
      </c>
      <c r="Q58" s="17">
        <f t="shared" si="92"/>
        <v>2.7634790030729509E-2</v>
      </c>
      <c r="R58" s="17">
        <f t="shared" si="93"/>
        <v>1.0916139285953969E-2</v>
      </c>
      <c r="S58" s="17">
        <f t="shared" si="94"/>
        <v>4.3218507802320468E-3</v>
      </c>
      <c r="T58" s="17">
        <f t="shared" si="42"/>
        <v>1.7359375522520962E-3</v>
      </c>
      <c r="U58" s="17">
        <f t="shared" si="43"/>
        <v>7.600496402729004E-4</v>
      </c>
      <c r="V58" s="17">
        <f t="shared" si="44"/>
        <v>4.8908291665620478E-4</v>
      </c>
      <c r="W58" s="17">
        <f t="shared" si="45"/>
        <v>6.7172460563384923E-4</v>
      </c>
      <c r="X58" s="17">
        <f t="shared" si="46"/>
        <v>1.4773689015013898E-3</v>
      </c>
      <c r="Y58" s="17">
        <f t="shared" si="47"/>
        <v>3.6532245447780669E-3</v>
      </c>
      <c r="Z58" s="17">
        <f t="shared" si="48"/>
        <v>9.2173264959345223E-3</v>
      </c>
      <c r="AA58" s="17">
        <f t="shared" si="49"/>
        <v>2.3330197373165804E-2</v>
      </c>
      <c r="AB58" s="17">
        <f t="shared" si="50"/>
        <v>5.9081063435972983E-2</v>
      </c>
      <c r="AC58" s="17">
        <f t="shared" si="51"/>
        <v>0.14962768393404643</v>
      </c>
      <c r="AD58" s="17">
        <f t="shared" si="52"/>
        <v>0.37894908858022486</v>
      </c>
      <c r="AE58" s="17">
        <f t="shared" si="53"/>
        <v>0.95973338156478072</v>
      </c>
      <c r="AF58" s="17">
        <f t="shared" si="54"/>
        <v>2.4306390034679204</v>
      </c>
      <c r="AG58" s="17">
        <f t="shared" si="55"/>
        <v>6.1558828212152665</v>
      </c>
      <c r="AH58" s="17">
        <f t="shared" si="56"/>
        <v>15.590506663395324</v>
      </c>
      <c r="AI58" s="17">
        <f t="shared" si="41"/>
        <v>39.484815639283291</v>
      </c>
      <c r="AJ58" s="16">
        <f t="shared" si="37"/>
        <v>100</v>
      </c>
      <c r="AN58" s="39"/>
      <c r="AO58" s="18">
        <f t="shared" si="4"/>
        <v>-1076400000</v>
      </c>
      <c r="AP58" s="19">
        <f t="shared" si="5"/>
        <v>0</v>
      </c>
      <c r="AQ58" s="19">
        <f t="shared" si="6"/>
        <v>0</v>
      </c>
      <c r="AR58" s="19">
        <f t="shared" si="7"/>
        <v>0</v>
      </c>
      <c r="AS58" s="19">
        <f t="shared" si="8"/>
        <v>0</v>
      </c>
      <c r="AT58" s="19">
        <f t="shared" si="9"/>
        <v>0</v>
      </c>
      <c r="AU58" s="19">
        <f t="shared" si="10"/>
        <v>0</v>
      </c>
      <c r="AV58" s="19">
        <f t="shared" si="11"/>
        <v>0</v>
      </c>
      <c r="AW58" s="19">
        <f t="shared" si="12"/>
        <v>0</v>
      </c>
      <c r="AX58" s="19">
        <f t="shared" si="13"/>
        <v>0</v>
      </c>
      <c r="AY58" s="19">
        <f t="shared" si="14"/>
        <v>0</v>
      </c>
      <c r="AZ58" s="19">
        <f t="shared" si="15"/>
        <v>0</v>
      </c>
      <c r="BA58" s="19">
        <f t="shared" si="16"/>
        <v>0</v>
      </c>
      <c r="BB58" s="19">
        <f t="shared" si="17"/>
        <v>0</v>
      </c>
      <c r="BC58" s="19">
        <f t="shared" si="18"/>
        <v>0</v>
      </c>
      <c r="BD58" s="19">
        <f t="shared" si="19"/>
        <v>0</v>
      </c>
      <c r="BE58" s="19">
        <f t="shared" si="20"/>
        <v>0</v>
      </c>
      <c r="BF58" s="19">
        <f t="shared" si="21"/>
        <v>0</v>
      </c>
      <c r="BG58" s="19">
        <f t="shared" si="22"/>
        <v>0</v>
      </c>
      <c r="BH58" s="19">
        <f t="shared" si="23"/>
        <v>0</v>
      </c>
      <c r="BI58" s="19">
        <f t="shared" si="24"/>
        <v>0</v>
      </c>
      <c r="BJ58" s="19">
        <f t="shared" si="25"/>
        <v>0</v>
      </c>
      <c r="BK58" s="19">
        <f t="shared" si="26"/>
        <v>0</v>
      </c>
      <c r="BL58" s="19">
        <f t="shared" si="27"/>
        <v>0</v>
      </c>
      <c r="BM58" s="19">
        <f t="shared" si="28"/>
        <v>0</v>
      </c>
      <c r="BN58" s="19">
        <f t="shared" si="29"/>
        <v>0</v>
      </c>
      <c r="BO58" s="19">
        <f t="shared" si="30"/>
        <v>0</v>
      </c>
      <c r="BP58" s="19">
        <f t="shared" si="31"/>
        <v>0</v>
      </c>
      <c r="BQ58" s="19">
        <f t="shared" si="32"/>
        <v>0</v>
      </c>
      <c r="BR58" s="18">
        <f t="shared" si="33"/>
        <v>-358800000</v>
      </c>
      <c r="BU58" s="37"/>
      <c r="BV58" s="24">
        <v>0</v>
      </c>
      <c r="BW58" s="20">
        <f t="shared" si="38"/>
        <v>0.3415922014622258</v>
      </c>
      <c r="BX58" s="20">
        <f t="shared" si="98"/>
        <v>0.3867162803971414</v>
      </c>
      <c r="BY58" s="20">
        <f t="shared" si="98"/>
        <v>0.39358441341045353</v>
      </c>
      <c r="BZ58" s="20">
        <f t="shared" si="98"/>
        <v>0.39465123071155611</v>
      </c>
      <c r="CA58" s="20">
        <f t="shared" si="98"/>
        <v>0.39481745705771337</v>
      </c>
      <c r="CB58" s="20">
        <f t="shared" si="98"/>
        <v>0.39484337025824801</v>
      </c>
      <c r="CC58" s="20">
        <f t="shared" si="98"/>
        <v>0.39484741020089792</v>
      </c>
      <c r="CD58" s="20">
        <f t="shared" si="98"/>
        <v>0.39484804004704999</v>
      </c>
      <c r="CE58" s="20">
        <f t="shared" si="98"/>
        <v>0.39484813824322279</v>
      </c>
      <c r="CF58" s="20">
        <f t="shared" si="98"/>
        <v>0.39484815355250286</v>
      </c>
      <c r="CG58" s="20">
        <f t="shared" si="98"/>
        <v>0.39484815593929717</v>
      </c>
      <c r="CH58" s="20">
        <f t="shared" si="98"/>
        <v>0.39484815631141046</v>
      </c>
      <c r="CI58" s="20">
        <f t="shared" si="98"/>
        <v>0.39484815636942483</v>
      </c>
      <c r="CJ58" s="20">
        <f t="shared" si="98"/>
        <v>0.39484815637846954</v>
      </c>
      <c r="CK58" s="20">
        <f t="shared" si="98"/>
        <v>0.39484815637987963</v>
      </c>
      <c r="CL58" s="20">
        <f t="shared" si="98"/>
        <v>0.39484815638009951</v>
      </c>
      <c r="CM58" s="20">
        <f t="shared" si="98"/>
        <v>0.39484815638013382</v>
      </c>
      <c r="CN58" s="20">
        <f t="shared" si="98"/>
        <v>0.39484815638013915</v>
      </c>
      <c r="CO58" s="20">
        <f t="shared" si="98"/>
        <v>0.39484815638013998</v>
      </c>
      <c r="CP58" s="20">
        <f t="shared" si="98"/>
        <v>0.39484815638014015</v>
      </c>
      <c r="CQ58" s="20">
        <f t="shared" si="98"/>
        <v>0.39484815638014015</v>
      </c>
      <c r="CR58" s="20">
        <f t="shared" si="98"/>
        <v>0.39484815638014015</v>
      </c>
      <c r="CS58" s="20">
        <f t="shared" si="98"/>
        <v>0.39484815638014015</v>
      </c>
      <c r="CT58" s="20">
        <f t="shared" si="98"/>
        <v>0.39484815638014015</v>
      </c>
      <c r="CU58" s="20">
        <f t="shared" si="98"/>
        <v>0.39484815638014015</v>
      </c>
      <c r="CV58" s="20">
        <f t="shared" si="98"/>
        <v>0.39484815638014015</v>
      </c>
      <c r="CW58" s="20">
        <f t="shared" si="98"/>
        <v>0.39484815638014015</v>
      </c>
      <c r="CX58" s="20">
        <f t="shared" si="98"/>
        <v>0.39484815638014015</v>
      </c>
      <c r="CY58" s="24">
        <f t="shared" si="98"/>
        <v>0.39484815638014015</v>
      </c>
      <c r="DB58" s="37"/>
      <c r="DC58" s="16">
        <f t="shared" si="39"/>
        <v>300</v>
      </c>
      <c r="DD58" s="20">
        <f t="shared" si="40"/>
        <v>102.47766043866774</v>
      </c>
      <c r="DE58" s="20">
        <f t="shared" si="95"/>
        <v>39.629779668642875</v>
      </c>
      <c r="DF58" s="20">
        <f t="shared" si="96"/>
        <v>15.597663584468325</v>
      </c>
      <c r="DG58" s="20">
        <f t="shared" si="97"/>
        <v>6.1556371298352461</v>
      </c>
      <c r="DH58" s="20">
        <f t="shared" si="58"/>
        <v>2.4303529981715934</v>
      </c>
      <c r="DI58" s="20">
        <f t="shared" si="59"/>
        <v>0.95960876871530965</v>
      </c>
      <c r="DJ58" s="20">
        <f t="shared" si="60"/>
        <v>0.37889903713331241</v>
      </c>
      <c r="DK58" s="20">
        <f t="shared" si="61"/>
        <v>0.14960754218780284</v>
      </c>
      <c r="DL58" s="20">
        <f t="shared" si="62"/>
        <v>5.9072259499998357E-2</v>
      </c>
      <c r="DM58" s="20">
        <f t="shared" si="63"/>
        <v>2.3324572589748647E-2</v>
      </c>
      <c r="DN58" s="20">
        <f t="shared" si="64"/>
        <v>9.2096644751345318E-3</v>
      </c>
      <c r="DO58" s="20">
        <f t="shared" si="65"/>
        <v>3.6364190382535641E-3</v>
      </c>
      <c r="DP58" s="20">
        <f t="shared" si="66"/>
        <v>1.4358333530410969E-3</v>
      </c>
      <c r="DQ58" s="20">
        <f t="shared" si="67"/>
        <v>5.6693615231499328E-4</v>
      </c>
      <c r="DR58" s="20">
        <f t="shared" si="68"/>
        <v>2.2385369452667772E-4</v>
      </c>
      <c r="DS58" s="20">
        <f t="shared" si="69"/>
        <v>8.8388218582732665E-5</v>
      </c>
      <c r="DT58" s="20">
        <f t="shared" si="70"/>
        <v>3.4899925153116278E-5</v>
      </c>
      <c r="DU58" s="20">
        <f t="shared" si="71"/>
        <v>1.3780171104512806E-5</v>
      </c>
      <c r="DV58" s="20">
        <f t="shared" si="72"/>
        <v>5.4410751552197585E-6</v>
      </c>
      <c r="DW58" s="20">
        <f t="shared" si="73"/>
        <v>2.1483984937643062E-6</v>
      </c>
      <c r="DX58" s="20">
        <f t="shared" si="74"/>
        <v>8.4829118443270635E-7</v>
      </c>
      <c r="DY58" s="20">
        <f t="shared" si="75"/>
        <v>3.3494621024677948E-7</v>
      </c>
      <c r="DZ58" s="20">
        <f t="shared" si="76"/>
        <v>1.3225289360245567E-7</v>
      </c>
      <c r="EA58" s="20">
        <f t="shared" si="77"/>
        <v>5.2219811214868452E-8</v>
      </c>
      <c r="EB58" s="20">
        <f t="shared" si="78"/>
        <v>2.0618896184709772E-8</v>
      </c>
      <c r="EC58" s="20">
        <f t="shared" si="79"/>
        <v>8.1413331451261602E-9</v>
      </c>
      <c r="ED58" s="20">
        <f t="shared" si="80"/>
        <v>3.2145903828295923E-9</v>
      </c>
      <c r="EE58" s="20">
        <f t="shared" si="81"/>
        <v>1.2692750861775935E-9</v>
      </c>
      <c r="EF58" s="24">
        <f t="shared" si="82"/>
        <v>36.620875384152697</v>
      </c>
    </row>
    <row r="59" spans="6:136" ht="15" customHeight="1" x14ac:dyDescent="0.25">
      <c r="F59" s="34"/>
      <c r="G59" s="16">
        <f t="shared" si="36"/>
        <v>300</v>
      </c>
      <c r="H59" s="17">
        <f t="shared" si="83"/>
        <v>118.45444691446514</v>
      </c>
      <c r="I59" s="17">
        <f t="shared" si="84"/>
        <v>46.771519980277262</v>
      </c>
      <c r="J59" s="17">
        <f t="shared" si="85"/>
        <v>18.467648438023144</v>
      </c>
      <c r="K59" s="17">
        <f t="shared" si="86"/>
        <v>7.2919169453029777</v>
      </c>
      <c r="L59" s="17">
        <f t="shared" si="87"/>
        <v>2.8791999797365877</v>
      </c>
      <c r="M59" s="17">
        <f t="shared" si="88"/>
        <v>1.1368468479330263</v>
      </c>
      <c r="N59" s="17">
        <f t="shared" si="89"/>
        <v>0.4488819936416657</v>
      </c>
      <c r="O59" s="17">
        <f t="shared" si="90"/>
        <v>0.17724051038538166</v>
      </c>
      <c r="P59" s="17">
        <f t="shared" si="91"/>
        <v>6.998380489437428E-2</v>
      </c>
      <c r="Q59" s="17">
        <f t="shared" si="92"/>
        <v>2.7634790030729509E-2</v>
      </c>
      <c r="R59" s="17">
        <f t="shared" si="93"/>
        <v>1.0916139285953969E-2</v>
      </c>
      <c r="S59" s="17">
        <f t="shared" si="94"/>
        <v>4.3218507802320468E-3</v>
      </c>
      <c r="T59" s="17">
        <f t="shared" si="42"/>
        <v>1.7359375522520962E-3</v>
      </c>
      <c r="U59" s="17">
        <f t="shared" si="43"/>
        <v>7.600496402729004E-4</v>
      </c>
      <c r="V59" s="17">
        <f t="shared" si="44"/>
        <v>4.8908291665620478E-4</v>
      </c>
      <c r="W59" s="17">
        <f t="shared" si="45"/>
        <v>6.7172460563384923E-4</v>
      </c>
      <c r="X59" s="17">
        <f t="shared" si="46"/>
        <v>1.4773689015013898E-3</v>
      </c>
      <c r="Y59" s="17">
        <f t="shared" si="47"/>
        <v>3.6532245447780669E-3</v>
      </c>
      <c r="Z59" s="17">
        <f t="shared" si="48"/>
        <v>9.2173264959345223E-3</v>
      </c>
      <c r="AA59" s="17">
        <f t="shared" si="49"/>
        <v>2.3330197373165804E-2</v>
      </c>
      <c r="AB59" s="17">
        <f t="shared" si="50"/>
        <v>5.9081063435972983E-2</v>
      </c>
      <c r="AC59" s="17">
        <f t="shared" si="51"/>
        <v>0.14962768393404643</v>
      </c>
      <c r="AD59" s="17">
        <f t="shared" si="52"/>
        <v>0.37894908858022486</v>
      </c>
      <c r="AE59" s="17">
        <f t="shared" si="53"/>
        <v>0.95973338156478072</v>
      </c>
      <c r="AF59" s="17">
        <f t="shared" si="54"/>
        <v>2.4306390034679204</v>
      </c>
      <c r="AG59" s="17">
        <f t="shared" si="55"/>
        <v>6.1558828212152665</v>
      </c>
      <c r="AH59" s="17">
        <f t="shared" si="56"/>
        <v>15.590506663395324</v>
      </c>
      <c r="AI59" s="17">
        <f t="shared" si="41"/>
        <v>39.484815639283291</v>
      </c>
      <c r="AJ59" s="16">
        <f t="shared" si="37"/>
        <v>100</v>
      </c>
      <c r="AN59" s="39"/>
      <c r="AO59" s="18">
        <f t="shared" si="4"/>
        <v>-1076400000</v>
      </c>
      <c r="AP59" s="19">
        <f t="shared" si="5"/>
        <v>0</v>
      </c>
      <c r="AQ59" s="19">
        <f t="shared" si="6"/>
        <v>0</v>
      </c>
      <c r="AR59" s="19">
        <f t="shared" si="7"/>
        <v>0</v>
      </c>
      <c r="AS59" s="19">
        <f t="shared" si="8"/>
        <v>0</v>
      </c>
      <c r="AT59" s="19">
        <f t="shared" si="9"/>
        <v>0</v>
      </c>
      <c r="AU59" s="19">
        <f t="shared" si="10"/>
        <v>0</v>
      </c>
      <c r="AV59" s="19">
        <f t="shared" si="11"/>
        <v>0</v>
      </c>
      <c r="AW59" s="19">
        <f t="shared" si="12"/>
        <v>0</v>
      </c>
      <c r="AX59" s="19">
        <f t="shared" si="13"/>
        <v>0</v>
      </c>
      <c r="AY59" s="19">
        <f t="shared" si="14"/>
        <v>0</v>
      </c>
      <c r="AZ59" s="19">
        <f t="shared" si="15"/>
        <v>0</v>
      </c>
      <c r="BA59" s="19">
        <f t="shared" si="16"/>
        <v>0</v>
      </c>
      <c r="BB59" s="19">
        <f t="shared" si="17"/>
        <v>0</v>
      </c>
      <c r="BC59" s="19">
        <f t="shared" si="18"/>
        <v>0</v>
      </c>
      <c r="BD59" s="19">
        <f t="shared" si="19"/>
        <v>0</v>
      </c>
      <c r="BE59" s="19">
        <f t="shared" si="20"/>
        <v>0</v>
      </c>
      <c r="BF59" s="19">
        <f t="shared" si="21"/>
        <v>0</v>
      </c>
      <c r="BG59" s="19">
        <f t="shared" si="22"/>
        <v>0</v>
      </c>
      <c r="BH59" s="19">
        <f t="shared" si="23"/>
        <v>0</v>
      </c>
      <c r="BI59" s="19">
        <f t="shared" si="24"/>
        <v>0</v>
      </c>
      <c r="BJ59" s="19">
        <f t="shared" si="25"/>
        <v>0</v>
      </c>
      <c r="BK59" s="19">
        <f t="shared" si="26"/>
        <v>0</v>
      </c>
      <c r="BL59" s="19">
        <f t="shared" si="27"/>
        <v>0</v>
      </c>
      <c r="BM59" s="19">
        <f t="shared" si="28"/>
        <v>0</v>
      </c>
      <c r="BN59" s="19">
        <f t="shared" si="29"/>
        <v>0</v>
      </c>
      <c r="BO59" s="19">
        <f t="shared" si="30"/>
        <v>0</v>
      </c>
      <c r="BP59" s="19">
        <f t="shared" si="31"/>
        <v>0</v>
      </c>
      <c r="BQ59" s="19">
        <f t="shared" si="32"/>
        <v>0</v>
      </c>
      <c r="BR59" s="18">
        <f t="shared" si="33"/>
        <v>-358800000</v>
      </c>
      <c r="BU59" s="37"/>
      <c r="BV59" s="24">
        <v>0</v>
      </c>
      <c r="BW59" s="20">
        <f t="shared" si="38"/>
        <v>0.3415922014622258</v>
      </c>
      <c r="BX59" s="20">
        <f t="shared" si="98"/>
        <v>0.3867162803971414</v>
      </c>
      <c r="BY59" s="20">
        <f t="shared" si="98"/>
        <v>0.39358441341045353</v>
      </c>
      <c r="BZ59" s="20">
        <f t="shared" si="98"/>
        <v>0.39465123071155611</v>
      </c>
      <c r="CA59" s="20">
        <f t="shared" si="98"/>
        <v>0.39481745705771337</v>
      </c>
      <c r="CB59" s="20">
        <f t="shared" si="98"/>
        <v>0.39484337025824801</v>
      </c>
      <c r="CC59" s="20">
        <f t="shared" si="98"/>
        <v>0.39484741020089792</v>
      </c>
      <c r="CD59" s="20">
        <f t="shared" si="98"/>
        <v>0.39484804004704999</v>
      </c>
      <c r="CE59" s="20">
        <f t="shared" si="98"/>
        <v>0.39484813824322279</v>
      </c>
      <c r="CF59" s="20">
        <f t="shared" si="98"/>
        <v>0.39484815355250286</v>
      </c>
      <c r="CG59" s="20">
        <f t="shared" si="98"/>
        <v>0.39484815593929717</v>
      </c>
      <c r="CH59" s="20">
        <f t="shared" si="98"/>
        <v>0.39484815631141046</v>
      </c>
      <c r="CI59" s="20">
        <f t="shared" si="98"/>
        <v>0.39484815636942483</v>
      </c>
      <c r="CJ59" s="20">
        <f t="shared" si="98"/>
        <v>0.39484815637846954</v>
      </c>
      <c r="CK59" s="20">
        <f t="shared" si="98"/>
        <v>0.39484815637987963</v>
      </c>
      <c r="CL59" s="20">
        <f t="shared" si="98"/>
        <v>0.39484815638009951</v>
      </c>
      <c r="CM59" s="20">
        <f t="shared" si="98"/>
        <v>0.39484815638013382</v>
      </c>
      <c r="CN59" s="20">
        <f t="shared" si="98"/>
        <v>0.39484815638013915</v>
      </c>
      <c r="CO59" s="20">
        <f t="shared" si="98"/>
        <v>0.39484815638013998</v>
      </c>
      <c r="CP59" s="20">
        <f t="shared" si="98"/>
        <v>0.39484815638014015</v>
      </c>
      <c r="CQ59" s="20">
        <f t="shared" si="98"/>
        <v>0.39484815638014015</v>
      </c>
      <c r="CR59" s="20">
        <f t="shared" si="98"/>
        <v>0.39484815638014015</v>
      </c>
      <c r="CS59" s="20">
        <f t="shared" si="98"/>
        <v>0.39484815638014015</v>
      </c>
      <c r="CT59" s="20">
        <f t="shared" si="98"/>
        <v>0.39484815638014015</v>
      </c>
      <c r="CU59" s="20">
        <f t="shared" si="98"/>
        <v>0.39484815638014015</v>
      </c>
      <c r="CV59" s="20">
        <f t="shared" si="98"/>
        <v>0.39484815638014015</v>
      </c>
      <c r="CW59" s="20">
        <f t="shared" si="98"/>
        <v>0.39484815638014015</v>
      </c>
      <c r="CX59" s="20">
        <f t="shared" si="98"/>
        <v>0.39484815638014015</v>
      </c>
      <c r="CY59" s="24">
        <f t="shared" si="98"/>
        <v>0.39484815638014015</v>
      </c>
      <c r="DB59" s="37"/>
      <c r="DC59" s="16">
        <f t="shared" si="39"/>
        <v>300</v>
      </c>
      <c r="DD59" s="20">
        <f t="shared" si="40"/>
        <v>102.47766043866774</v>
      </c>
      <c r="DE59" s="20">
        <f t="shared" si="95"/>
        <v>39.629779668642875</v>
      </c>
      <c r="DF59" s="20">
        <f t="shared" si="96"/>
        <v>15.597663584468325</v>
      </c>
      <c r="DG59" s="20">
        <f t="shared" si="97"/>
        <v>6.1556371298352461</v>
      </c>
      <c r="DH59" s="20">
        <f t="shared" si="58"/>
        <v>2.4303529981715934</v>
      </c>
      <c r="DI59" s="20">
        <f t="shared" si="59"/>
        <v>0.95960876871530965</v>
      </c>
      <c r="DJ59" s="20">
        <f t="shared" si="60"/>
        <v>0.37889903713331241</v>
      </c>
      <c r="DK59" s="20">
        <f t="shared" si="61"/>
        <v>0.14960754218780284</v>
      </c>
      <c r="DL59" s="20">
        <f t="shared" si="62"/>
        <v>5.9072259499998357E-2</v>
      </c>
      <c r="DM59" s="20">
        <f t="shared" si="63"/>
        <v>2.3324572589748647E-2</v>
      </c>
      <c r="DN59" s="20">
        <f t="shared" si="64"/>
        <v>9.2096644751345318E-3</v>
      </c>
      <c r="DO59" s="20">
        <f t="shared" si="65"/>
        <v>3.6364190382535641E-3</v>
      </c>
      <c r="DP59" s="20">
        <f t="shared" si="66"/>
        <v>1.4358333530410969E-3</v>
      </c>
      <c r="DQ59" s="20">
        <f t="shared" si="67"/>
        <v>5.6693615231499328E-4</v>
      </c>
      <c r="DR59" s="20">
        <f t="shared" si="68"/>
        <v>2.2385369452667772E-4</v>
      </c>
      <c r="DS59" s="20">
        <f t="shared" si="69"/>
        <v>8.8388218582732665E-5</v>
      </c>
      <c r="DT59" s="20">
        <f t="shared" si="70"/>
        <v>3.4899925153116278E-5</v>
      </c>
      <c r="DU59" s="20">
        <f t="shared" si="71"/>
        <v>1.3780171104512806E-5</v>
      </c>
      <c r="DV59" s="20">
        <f t="shared" si="72"/>
        <v>5.4410751552197585E-6</v>
      </c>
      <c r="DW59" s="20">
        <f t="shared" si="73"/>
        <v>2.1483984937643062E-6</v>
      </c>
      <c r="DX59" s="20">
        <f t="shared" si="74"/>
        <v>8.4829118443270635E-7</v>
      </c>
      <c r="DY59" s="20">
        <f t="shared" si="75"/>
        <v>3.3494621024677948E-7</v>
      </c>
      <c r="DZ59" s="20">
        <f t="shared" si="76"/>
        <v>1.3225289360245567E-7</v>
      </c>
      <c r="EA59" s="20">
        <f t="shared" si="77"/>
        <v>5.2219811214868452E-8</v>
      </c>
      <c r="EB59" s="20">
        <f t="shared" si="78"/>
        <v>2.0618896184709772E-8</v>
      </c>
      <c r="EC59" s="20">
        <f t="shared" si="79"/>
        <v>8.1413331451261602E-9</v>
      </c>
      <c r="ED59" s="20">
        <f t="shared" si="80"/>
        <v>3.2145903828295923E-9</v>
      </c>
      <c r="EE59" s="20">
        <f t="shared" si="81"/>
        <v>1.2692750861775935E-9</v>
      </c>
      <c r="EF59" s="24">
        <f t="shared" si="82"/>
        <v>36.620875384152697</v>
      </c>
    </row>
    <row r="60" spans="6:136" ht="15" customHeight="1" x14ac:dyDescent="0.25">
      <c r="F60" s="34"/>
      <c r="G60" s="16">
        <f t="shared" si="36"/>
        <v>300</v>
      </c>
      <c r="H60" s="17">
        <f t="shared" si="83"/>
        <v>118.45444691446514</v>
      </c>
      <c r="I60" s="17">
        <f t="shared" si="84"/>
        <v>46.771519980277262</v>
      </c>
      <c r="J60" s="17">
        <f t="shared" si="85"/>
        <v>18.467648438023144</v>
      </c>
      <c r="K60" s="17">
        <f t="shared" si="86"/>
        <v>7.2919169453029777</v>
      </c>
      <c r="L60" s="17">
        <f t="shared" si="87"/>
        <v>2.8791999797365877</v>
      </c>
      <c r="M60" s="17">
        <f t="shared" si="88"/>
        <v>1.1368468479330263</v>
      </c>
      <c r="N60" s="17">
        <f t="shared" si="89"/>
        <v>0.4488819936416657</v>
      </c>
      <c r="O60" s="17">
        <f t="shared" si="90"/>
        <v>0.17724051038538166</v>
      </c>
      <c r="P60" s="17">
        <f t="shared" si="91"/>
        <v>6.998380489437428E-2</v>
      </c>
      <c r="Q60" s="17">
        <f t="shared" si="92"/>
        <v>2.7634790030729509E-2</v>
      </c>
      <c r="R60" s="17">
        <f t="shared" si="93"/>
        <v>1.0916139285953969E-2</v>
      </c>
      <c r="S60" s="17">
        <f t="shared" si="94"/>
        <v>4.3218507802320468E-3</v>
      </c>
      <c r="T60" s="17">
        <f t="shared" si="42"/>
        <v>1.7359375522520962E-3</v>
      </c>
      <c r="U60" s="17">
        <f t="shared" si="43"/>
        <v>7.600496402729004E-4</v>
      </c>
      <c r="V60" s="17">
        <f t="shared" si="44"/>
        <v>4.8908291665620478E-4</v>
      </c>
      <c r="W60" s="17">
        <f t="shared" si="45"/>
        <v>6.7172460563384923E-4</v>
      </c>
      <c r="X60" s="17">
        <f t="shared" si="46"/>
        <v>1.4773689015013898E-3</v>
      </c>
      <c r="Y60" s="17">
        <f t="shared" si="47"/>
        <v>3.6532245447780669E-3</v>
      </c>
      <c r="Z60" s="17">
        <f t="shared" si="48"/>
        <v>9.2173264959345223E-3</v>
      </c>
      <c r="AA60" s="17">
        <f t="shared" si="49"/>
        <v>2.3330197373165804E-2</v>
      </c>
      <c r="AB60" s="17">
        <f t="shared" si="50"/>
        <v>5.9081063435972983E-2</v>
      </c>
      <c r="AC60" s="17">
        <f t="shared" si="51"/>
        <v>0.14962768393404643</v>
      </c>
      <c r="AD60" s="17">
        <f t="shared" si="52"/>
        <v>0.37894908858022486</v>
      </c>
      <c r="AE60" s="17">
        <f t="shared" si="53"/>
        <v>0.95973338156478072</v>
      </c>
      <c r="AF60" s="17">
        <f t="shared" si="54"/>
        <v>2.4306390034679204</v>
      </c>
      <c r="AG60" s="17">
        <f t="shared" si="55"/>
        <v>6.1558828212152665</v>
      </c>
      <c r="AH60" s="17">
        <f t="shared" si="56"/>
        <v>15.590506663395324</v>
      </c>
      <c r="AI60" s="17">
        <f t="shared" si="41"/>
        <v>39.484815639283291</v>
      </c>
      <c r="AJ60" s="16">
        <f t="shared" si="37"/>
        <v>100</v>
      </c>
      <c r="AN60" s="39"/>
      <c r="AO60" s="18">
        <f t="shared" si="4"/>
        <v>-1076400000</v>
      </c>
      <c r="AP60" s="19">
        <f t="shared" si="5"/>
        <v>0</v>
      </c>
      <c r="AQ60" s="19">
        <f t="shared" si="6"/>
        <v>0</v>
      </c>
      <c r="AR60" s="19">
        <f t="shared" si="7"/>
        <v>0</v>
      </c>
      <c r="AS60" s="19">
        <f t="shared" si="8"/>
        <v>0</v>
      </c>
      <c r="AT60" s="19">
        <f t="shared" si="9"/>
        <v>0</v>
      </c>
      <c r="AU60" s="19">
        <f t="shared" si="10"/>
        <v>0</v>
      </c>
      <c r="AV60" s="19">
        <f t="shared" si="11"/>
        <v>0</v>
      </c>
      <c r="AW60" s="19">
        <f t="shared" si="12"/>
        <v>0</v>
      </c>
      <c r="AX60" s="19">
        <f t="shared" si="13"/>
        <v>0</v>
      </c>
      <c r="AY60" s="19">
        <f t="shared" si="14"/>
        <v>0</v>
      </c>
      <c r="AZ60" s="19">
        <f t="shared" si="15"/>
        <v>0</v>
      </c>
      <c r="BA60" s="19">
        <f t="shared" si="16"/>
        <v>0</v>
      </c>
      <c r="BB60" s="19">
        <f t="shared" si="17"/>
        <v>0</v>
      </c>
      <c r="BC60" s="19">
        <f t="shared" si="18"/>
        <v>0</v>
      </c>
      <c r="BD60" s="19">
        <f t="shared" si="19"/>
        <v>0</v>
      </c>
      <c r="BE60" s="19">
        <f t="shared" si="20"/>
        <v>0</v>
      </c>
      <c r="BF60" s="19">
        <f t="shared" si="21"/>
        <v>0</v>
      </c>
      <c r="BG60" s="19">
        <f t="shared" si="22"/>
        <v>0</v>
      </c>
      <c r="BH60" s="19">
        <f t="shared" si="23"/>
        <v>0</v>
      </c>
      <c r="BI60" s="19">
        <f t="shared" si="24"/>
        <v>0</v>
      </c>
      <c r="BJ60" s="19">
        <f t="shared" si="25"/>
        <v>0</v>
      </c>
      <c r="BK60" s="19">
        <f t="shared" si="26"/>
        <v>0</v>
      </c>
      <c r="BL60" s="19">
        <f t="shared" si="27"/>
        <v>0</v>
      </c>
      <c r="BM60" s="19">
        <f t="shared" si="28"/>
        <v>0</v>
      </c>
      <c r="BN60" s="19">
        <f t="shared" si="29"/>
        <v>0</v>
      </c>
      <c r="BO60" s="19">
        <f t="shared" si="30"/>
        <v>0</v>
      </c>
      <c r="BP60" s="19">
        <f t="shared" si="31"/>
        <v>0</v>
      </c>
      <c r="BQ60" s="19">
        <f t="shared" si="32"/>
        <v>0</v>
      </c>
      <c r="BR60" s="18">
        <f t="shared" si="33"/>
        <v>-358800000</v>
      </c>
      <c r="BU60" s="37"/>
      <c r="BV60" s="24">
        <v>0</v>
      </c>
      <c r="BW60" s="20">
        <f t="shared" si="38"/>
        <v>0.3415922014622258</v>
      </c>
      <c r="BX60" s="20">
        <f t="shared" si="98"/>
        <v>0.3867162803971414</v>
      </c>
      <c r="BY60" s="20">
        <f t="shared" si="98"/>
        <v>0.39358441341045353</v>
      </c>
      <c r="BZ60" s="20">
        <f t="shared" si="98"/>
        <v>0.39465123071155611</v>
      </c>
      <c r="CA60" s="20">
        <f t="shared" si="98"/>
        <v>0.39481745705771337</v>
      </c>
      <c r="CB60" s="20">
        <f t="shared" si="98"/>
        <v>0.39484337025824801</v>
      </c>
      <c r="CC60" s="20">
        <f t="shared" si="98"/>
        <v>0.39484741020089792</v>
      </c>
      <c r="CD60" s="20">
        <f t="shared" si="98"/>
        <v>0.39484804004704999</v>
      </c>
      <c r="CE60" s="20">
        <f t="shared" si="98"/>
        <v>0.39484813824322279</v>
      </c>
      <c r="CF60" s="20">
        <f t="shared" si="98"/>
        <v>0.39484815355250286</v>
      </c>
      <c r="CG60" s="20">
        <f t="shared" si="98"/>
        <v>0.39484815593929717</v>
      </c>
      <c r="CH60" s="20">
        <f t="shared" si="98"/>
        <v>0.39484815631141046</v>
      </c>
      <c r="CI60" s="20">
        <f t="shared" si="98"/>
        <v>0.39484815636942483</v>
      </c>
      <c r="CJ60" s="20">
        <f t="shared" si="98"/>
        <v>0.39484815637846954</v>
      </c>
      <c r="CK60" s="20">
        <f t="shared" si="98"/>
        <v>0.39484815637987963</v>
      </c>
      <c r="CL60" s="20">
        <f t="shared" si="98"/>
        <v>0.39484815638009951</v>
      </c>
      <c r="CM60" s="20">
        <f t="shared" si="98"/>
        <v>0.39484815638013382</v>
      </c>
      <c r="CN60" s="20">
        <f t="shared" si="98"/>
        <v>0.39484815638013915</v>
      </c>
      <c r="CO60" s="20">
        <f t="shared" si="98"/>
        <v>0.39484815638013998</v>
      </c>
      <c r="CP60" s="20">
        <f t="shared" si="98"/>
        <v>0.39484815638014015</v>
      </c>
      <c r="CQ60" s="20">
        <f t="shared" si="98"/>
        <v>0.39484815638014015</v>
      </c>
      <c r="CR60" s="20">
        <f t="shared" si="98"/>
        <v>0.39484815638014015</v>
      </c>
      <c r="CS60" s="20">
        <f t="shared" si="98"/>
        <v>0.39484815638014015</v>
      </c>
      <c r="CT60" s="20">
        <f t="shared" si="98"/>
        <v>0.39484815638014015</v>
      </c>
      <c r="CU60" s="20">
        <f t="shared" si="98"/>
        <v>0.39484815638014015</v>
      </c>
      <c r="CV60" s="20">
        <f t="shared" si="98"/>
        <v>0.39484815638014015</v>
      </c>
      <c r="CW60" s="20">
        <f t="shared" si="98"/>
        <v>0.39484815638014015</v>
      </c>
      <c r="CX60" s="20">
        <f t="shared" si="98"/>
        <v>0.39484815638014015</v>
      </c>
      <c r="CY60" s="24">
        <f t="shared" si="98"/>
        <v>0.39484815638014015</v>
      </c>
      <c r="DB60" s="37"/>
      <c r="DC60" s="16">
        <f t="shared" si="39"/>
        <v>300</v>
      </c>
      <c r="DD60" s="20">
        <f t="shared" si="40"/>
        <v>102.47766043866774</v>
      </c>
      <c r="DE60" s="20">
        <f t="shared" si="95"/>
        <v>39.629779668642875</v>
      </c>
      <c r="DF60" s="20">
        <f t="shared" si="96"/>
        <v>15.597663584468325</v>
      </c>
      <c r="DG60" s="20">
        <f t="shared" si="97"/>
        <v>6.1556371298352461</v>
      </c>
      <c r="DH60" s="20">
        <f t="shared" si="58"/>
        <v>2.4303529981715934</v>
      </c>
      <c r="DI60" s="20">
        <f t="shared" si="59"/>
        <v>0.95960876871530965</v>
      </c>
      <c r="DJ60" s="20">
        <f t="shared" si="60"/>
        <v>0.37889903713331241</v>
      </c>
      <c r="DK60" s="20">
        <f t="shared" si="61"/>
        <v>0.14960754218780284</v>
      </c>
      <c r="DL60" s="20">
        <f t="shared" si="62"/>
        <v>5.9072259499998357E-2</v>
      </c>
      <c r="DM60" s="20">
        <f t="shared" si="63"/>
        <v>2.3324572589748647E-2</v>
      </c>
      <c r="DN60" s="20">
        <f t="shared" si="64"/>
        <v>9.2096644751345318E-3</v>
      </c>
      <c r="DO60" s="20">
        <f t="shared" si="65"/>
        <v>3.6364190382535641E-3</v>
      </c>
      <c r="DP60" s="20">
        <f t="shared" si="66"/>
        <v>1.4358333530410969E-3</v>
      </c>
      <c r="DQ60" s="20">
        <f t="shared" si="67"/>
        <v>5.6693615231499328E-4</v>
      </c>
      <c r="DR60" s="20">
        <f t="shared" si="68"/>
        <v>2.2385369452667772E-4</v>
      </c>
      <c r="DS60" s="20">
        <f t="shared" si="69"/>
        <v>8.8388218582732665E-5</v>
      </c>
      <c r="DT60" s="20">
        <f t="shared" si="70"/>
        <v>3.4899925153116278E-5</v>
      </c>
      <c r="DU60" s="20">
        <f t="shared" si="71"/>
        <v>1.3780171104512806E-5</v>
      </c>
      <c r="DV60" s="20">
        <f t="shared" si="72"/>
        <v>5.4410751552197585E-6</v>
      </c>
      <c r="DW60" s="20">
        <f t="shared" si="73"/>
        <v>2.1483984937643062E-6</v>
      </c>
      <c r="DX60" s="20">
        <f t="shared" si="74"/>
        <v>8.4829118443270635E-7</v>
      </c>
      <c r="DY60" s="20">
        <f t="shared" si="75"/>
        <v>3.3494621024677948E-7</v>
      </c>
      <c r="DZ60" s="20">
        <f t="shared" si="76"/>
        <v>1.3225289360245567E-7</v>
      </c>
      <c r="EA60" s="20">
        <f t="shared" si="77"/>
        <v>5.2219811214868452E-8</v>
      </c>
      <c r="EB60" s="20">
        <f t="shared" si="78"/>
        <v>2.0618896184709772E-8</v>
      </c>
      <c r="EC60" s="20">
        <f t="shared" si="79"/>
        <v>8.1413331451261602E-9</v>
      </c>
      <c r="ED60" s="20">
        <f t="shared" si="80"/>
        <v>3.2145903828295923E-9</v>
      </c>
      <c r="EE60" s="20">
        <f t="shared" si="81"/>
        <v>1.2692750861775935E-9</v>
      </c>
      <c r="EF60" s="24">
        <f t="shared" si="82"/>
        <v>36.620875384152697</v>
      </c>
    </row>
    <row r="61" spans="6:136" ht="15" customHeight="1" x14ac:dyDescent="0.25">
      <c r="F61" s="34"/>
      <c r="G61" s="16">
        <f t="shared" si="36"/>
        <v>300</v>
      </c>
      <c r="H61" s="17">
        <f t="shared" si="83"/>
        <v>118.45444691446514</v>
      </c>
      <c r="I61" s="17">
        <f t="shared" si="84"/>
        <v>46.771519980277262</v>
      </c>
      <c r="J61" s="17">
        <f t="shared" si="85"/>
        <v>18.467648438023144</v>
      </c>
      <c r="K61" s="17">
        <f t="shared" si="86"/>
        <v>7.2919169453029777</v>
      </c>
      <c r="L61" s="17">
        <f t="shared" si="87"/>
        <v>2.8791999797365877</v>
      </c>
      <c r="M61" s="17">
        <f t="shared" si="88"/>
        <v>1.1368468479330263</v>
      </c>
      <c r="N61" s="17">
        <f t="shared" si="89"/>
        <v>0.4488819936416657</v>
      </c>
      <c r="O61" s="17">
        <f t="shared" si="90"/>
        <v>0.17724051038538166</v>
      </c>
      <c r="P61" s="17">
        <f t="shared" si="91"/>
        <v>6.998380489437428E-2</v>
      </c>
      <c r="Q61" s="17">
        <f t="shared" si="92"/>
        <v>2.7634790030729509E-2</v>
      </c>
      <c r="R61" s="17">
        <f t="shared" si="93"/>
        <v>1.0916139285953969E-2</v>
      </c>
      <c r="S61" s="17">
        <f t="shared" si="94"/>
        <v>4.3218507802320468E-3</v>
      </c>
      <c r="T61" s="17">
        <f t="shared" si="42"/>
        <v>1.7359375522520962E-3</v>
      </c>
      <c r="U61" s="17">
        <f t="shared" si="43"/>
        <v>7.600496402729004E-4</v>
      </c>
      <c r="V61" s="17">
        <f t="shared" si="44"/>
        <v>4.8908291665620478E-4</v>
      </c>
      <c r="W61" s="17">
        <f t="shared" si="45"/>
        <v>6.7172460563384923E-4</v>
      </c>
      <c r="X61" s="17">
        <f t="shared" si="46"/>
        <v>1.4773689015013898E-3</v>
      </c>
      <c r="Y61" s="17">
        <f t="shared" si="47"/>
        <v>3.6532245447780669E-3</v>
      </c>
      <c r="Z61" s="17">
        <f t="shared" si="48"/>
        <v>9.2173264959345223E-3</v>
      </c>
      <c r="AA61" s="17">
        <f t="shared" si="49"/>
        <v>2.3330197373165804E-2</v>
      </c>
      <c r="AB61" s="17">
        <f t="shared" si="50"/>
        <v>5.9081063435972983E-2</v>
      </c>
      <c r="AC61" s="17">
        <f t="shared" si="51"/>
        <v>0.14962768393404643</v>
      </c>
      <c r="AD61" s="17">
        <f t="shared" si="52"/>
        <v>0.37894908858022486</v>
      </c>
      <c r="AE61" s="17">
        <f t="shared" si="53"/>
        <v>0.95973338156478072</v>
      </c>
      <c r="AF61" s="17">
        <f t="shared" si="54"/>
        <v>2.4306390034679204</v>
      </c>
      <c r="AG61" s="17">
        <f t="shared" si="55"/>
        <v>6.1558828212152665</v>
      </c>
      <c r="AH61" s="17">
        <f t="shared" si="56"/>
        <v>15.590506663395324</v>
      </c>
      <c r="AI61" s="17">
        <f t="shared" si="41"/>
        <v>39.484815639283291</v>
      </c>
      <c r="AJ61" s="16">
        <f t="shared" si="37"/>
        <v>100</v>
      </c>
      <c r="AN61" s="39"/>
      <c r="AO61" s="18">
        <f t="shared" si="4"/>
        <v>-1076400000</v>
      </c>
      <c r="AP61" s="19">
        <f t="shared" si="5"/>
        <v>0</v>
      </c>
      <c r="AQ61" s="19">
        <f t="shared" si="6"/>
        <v>0</v>
      </c>
      <c r="AR61" s="19">
        <f t="shared" si="7"/>
        <v>0</v>
      </c>
      <c r="AS61" s="19">
        <f t="shared" si="8"/>
        <v>0</v>
      </c>
      <c r="AT61" s="19">
        <f t="shared" si="9"/>
        <v>0</v>
      </c>
      <c r="AU61" s="19">
        <f t="shared" si="10"/>
        <v>0</v>
      </c>
      <c r="AV61" s="19">
        <f t="shared" si="11"/>
        <v>0</v>
      </c>
      <c r="AW61" s="19">
        <f t="shared" si="12"/>
        <v>0</v>
      </c>
      <c r="AX61" s="19">
        <f t="shared" si="13"/>
        <v>0</v>
      </c>
      <c r="AY61" s="19">
        <f t="shared" si="14"/>
        <v>0</v>
      </c>
      <c r="AZ61" s="19">
        <f t="shared" si="15"/>
        <v>0</v>
      </c>
      <c r="BA61" s="19">
        <f t="shared" si="16"/>
        <v>0</v>
      </c>
      <c r="BB61" s="19">
        <f t="shared" si="17"/>
        <v>0</v>
      </c>
      <c r="BC61" s="19">
        <f t="shared" si="18"/>
        <v>0</v>
      </c>
      <c r="BD61" s="19">
        <f t="shared" si="19"/>
        <v>0</v>
      </c>
      <c r="BE61" s="19">
        <f t="shared" si="20"/>
        <v>0</v>
      </c>
      <c r="BF61" s="19">
        <f t="shared" si="21"/>
        <v>0</v>
      </c>
      <c r="BG61" s="19">
        <f t="shared" si="22"/>
        <v>0</v>
      </c>
      <c r="BH61" s="19">
        <f t="shared" si="23"/>
        <v>0</v>
      </c>
      <c r="BI61" s="19">
        <f t="shared" si="24"/>
        <v>0</v>
      </c>
      <c r="BJ61" s="19">
        <f t="shared" si="25"/>
        <v>0</v>
      </c>
      <c r="BK61" s="19">
        <f t="shared" si="26"/>
        <v>0</v>
      </c>
      <c r="BL61" s="19">
        <f t="shared" si="27"/>
        <v>0</v>
      </c>
      <c r="BM61" s="19">
        <f t="shared" si="28"/>
        <v>0</v>
      </c>
      <c r="BN61" s="19">
        <f t="shared" si="29"/>
        <v>0</v>
      </c>
      <c r="BO61" s="19">
        <f t="shared" si="30"/>
        <v>0</v>
      </c>
      <c r="BP61" s="19">
        <f t="shared" si="31"/>
        <v>0</v>
      </c>
      <c r="BQ61" s="19">
        <f t="shared" si="32"/>
        <v>0</v>
      </c>
      <c r="BR61" s="18">
        <f t="shared" si="33"/>
        <v>-358800000</v>
      </c>
      <c r="BU61" s="37"/>
      <c r="BV61" s="24">
        <v>0</v>
      </c>
      <c r="BW61" s="20">
        <f t="shared" si="38"/>
        <v>0.3415922014622258</v>
      </c>
      <c r="BX61" s="20">
        <f t="shared" si="98"/>
        <v>0.3867162803971414</v>
      </c>
      <c r="BY61" s="20">
        <f t="shared" si="98"/>
        <v>0.39358441341045353</v>
      </c>
      <c r="BZ61" s="20">
        <f t="shared" si="98"/>
        <v>0.39465123071155611</v>
      </c>
      <c r="CA61" s="20">
        <f t="shared" si="98"/>
        <v>0.39481745705771337</v>
      </c>
      <c r="CB61" s="20">
        <f t="shared" si="98"/>
        <v>0.39484337025824801</v>
      </c>
      <c r="CC61" s="20">
        <f t="shared" si="98"/>
        <v>0.39484741020089792</v>
      </c>
      <c r="CD61" s="20">
        <f t="shared" si="98"/>
        <v>0.39484804004704999</v>
      </c>
      <c r="CE61" s="20">
        <f t="shared" si="98"/>
        <v>0.39484813824322279</v>
      </c>
      <c r="CF61" s="20">
        <f t="shared" si="98"/>
        <v>0.39484815355250286</v>
      </c>
      <c r="CG61" s="20">
        <f t="shared" si="98"/>
        <v>0.39484815593929717</v>
      </c>
      <c r="CH61" s="20">
        <f t="shared" si="98"/>
        <v>0.39484815631141046</v>
      </c>
      <c r="CI61" s="20">
        <f t="shared" si="98"/>
        <v>0.39484815636942483</v>
      </c>
      <c r="CJ61" s="20">
        <f t="shared" si="98"/>
        <v>0.39484815637846954</v>
      </c>
      <c r="CK61" s="20">
        <f t="shared" si="98"/>
        <v>0.39484815637987963</v>
      </c>
      <c r="CL61" s="20">
        <f t="shared" si="98"/>
        <v>0.39484815638009951</v>
      </c>
      <c r="CM61" s="20">
        <f t="shared" si="98"/>
        <v>0.39484815638013382</v>
      </c>
      <c r="CN61" s="20">
        <f t="shared" si="98"/>
        <v>0.39484815638013915</v>
      </c>
      <c r="CO61" s="20">
        <f t="shared" si="98"/>
        <v>0.39484815638013998</v>
      </c>
      <c r="CP61" s="20">
        <f t="shared" si="98"/>
        <v>0.39484815638014015</v>
      </c>
      <c r="CQ61" s="20">
        <f t="shared" si="98"/>
        <v>0.39484815638014015</v>
      </c>
      <c r="CR61" s="20">
        <f t="shared" si="98"/>
        <v>0.39484815638014015</v>
      </c>
      <c r="CS61" s="20">
        <f t="shared" si="98"/>
        <v>0.39484815638014015</v>
      </c>
      <c r="CT61" s="20">
        <f t="shared" si="98"/>
        <v>0.39484815638014015</v>
      </c>
      <c r="CU61" s="20">
        <f t="shared" si="98"/>
        <v>0.39484815638014015</v>
      </c>
      <c r="CV61" s="20">
        <f t="shared" si="98"/>
        <v>0.39484815638014015</v>
      </c>
      <c r="CW61" s="20">
        <f t="shared" si="98"/>
        <v>0.39484815638014015</v>
      </c>
      <c r="CX61" s="20">
        <f t="shared" si="98"/>
        <v>0.39484815638014015</v>
      </c>
      <c r="CY61" s="24">
        <f t="shared" si="98"/>
        <v>0.39484815638014015</v>
      </c>
      <c r="DB61" s="37"/>
      <c r="DC61" s="16">
        <f t="shared" si="39"/>
        <v>300</v>
      </c>
      <c r="DD61" s="20">
        <f t="shared" si="40"/>
        <v>102.47766043866774</v>
      </c>
      <c r="DE61" s="20">
        <f t="shared" si="95"/>
        <v>39.629779668642875</v>
      </c>
      <c r="DF61" s="20">
        <f t="shared" si="96"/>
        <v>15.597663584468325</v>
      </c>
      <c r="DG61" s="20">
        <f t="shared" si="97"/>
        <v>6.1556371298352461</v>
      </c>
      <c r="DH61" s="20">
        <f t="shared" si="58"/>
        <v>2.4303529981715934</v>
      </c>
      <c r="DI61" s="20">
        <f t="shared" si="59"/>
        <v>0.95960876871530965</v>
      </c>
      <c r="DJ61" s="20">
        <f t="shared" si="60"/>
        <v>0.37889903713331241</v>
      </c>
      <c r="DK61" s="20">
        <f t="shared" si="61"/>
        <v>0.14960754218780284</v>
      </c>
      <c r="DL61" s="20">
        <f t="shared" si="62"/>
        <v>5.9072259499998357E-2</v>
      </c>
      <c r="DM61" s="20">
        <f t="shared" si="63"/>
        <v>2.3324572589748647E-2</v>
      </c>
      <c r="DN61" s="20">
        <f t="shared" si="64"/>
        <v>9.2096644751345318E-3</v>
      </c>
      <c r="DO61" s="20">
        <f t="shared" si="65"/>
        <v>3.6364190382535641E-3</v>
      </c>
      <c r="DP61" s="20">
        <f t="shared" si="66"/>
        <v>1.4358333530410969E-3</v>
      </c>
      <c r="DQ61" s="20">
        <f t="shared" si="67"/>
        <v>5.6693615231499328E-4</v>
      </c>
      <c r="DR61" s="20">
        <f t="shared" si="68"/>
        <v>2.2385369452667772E-4</v>
      </c>
      <c r="DS61" s="20">
        <f t="shared" si="69"/>
        <v>8.8388218582732665E-5</v>
      </c>
      <c r="DT61" s="20">
        <f t="shared" si="70"/>
        <v>3.4899925153116278E-5</v>
      </c>
      <c r="DU61" s="20">
        <f t="shared" si="71"/>
        <v>1.3780171104512806E-5</v>
      </c>
      <c r="DV61" s="20">
        <f t="shared" si="72"/>
        <v>5.4410751552197585E-6</v>
      </c>
      <c r="DW61" s="20">
        <f t="shared" si="73"/>
        <v>2.1483984937643062E-6</v>
      </c>
      <c r="DX61" s="20">
        <f t="shared" si="74"/>
        <v>8.4829118443270635E-7</v>
      </c>
      <c r="DY61" s="20">
        <f t="shared" si="75"/>
        <v>3.3494621024677948E-7</v>
      </c>
      <c r="DZ61" s="20">
        <f t="shared" si="76"/>
        <v>1.3225289360245567E-7</v>
      </c>
      <c r="EA61" s="20">
        <f t="shared" si="77"/>
        <v>5.2219811214868452E-8</v>
      </c>
      <c r="EB61" s="20">
        <f t="shared" si="78"/>
        <v>2.0618896184709772E-8</v>
      </c>
      <c r="EC61" s="20">
        <f t="shared" si="79"/>
        <v>8.1413331451261602E-9</v>
      </c>
      <c r="ED61" s="20">
        <f t="shared" si="80"/>
        <v>3.2145903828295923E-9</v>
      </c>
      <c r="EE61" s="20">
        <f t="shared" si="81"/>
        <v>1.2692750861775935E-9</v>
      </c>
      <c r="EF61" s="24">
        <f t="shared" si="82"/>
        <v>36.620875384152697</v>
      </c>
    </row>
    <row r="62" spans="6:136" ht="15" customHeight="1" x14ac:dyDescent="0.25">
      <c r="F62" s="34"/>
      <c r="G62" s="16">
        <f t="shared" si="36"/>
        <v>300</v>
      </c>
      <c r="H62" s="17">
        <f t="shared" si="83"/>
        <v>118.45444691446514</v>
      </c>
      <c r="I62" s="17">
        <f t="shared" si="84"/>
        <v>46.771519980277262</v>
      </c>
      <c r="J62" s="17">
        <f t="shared" si="85"/>
        <v>18.467648438023144</v>
      </c>
      <c r="K62" s="17">
        <f t="shared" si="86"/>
        <v>7.2919169453029777</v>
      </c>
      <c r="L62" s="17">
        <f t="shared" si="87"/>
        <v>2.8791999797365877</v>
      </c>
      <c r="M62" s="17">
        <f t="shared" si="88"/>
        <v>1.1368468479330263</v>
      </c>
      <c r="N62" s="17">
        <f t="shared" si="89"/>
        <v>0.4488819936416657</v>
      </c>
      <c r="O62" s="17">
        <f t="shared" si="90"/>
        <v>0.17724051038538166</v>
      </c>
      <c r="P62" s="17">
        <f t="shared" si="91"/>
        <v>6.998380489437428E-2</v>
      </c>
      <c r="Q62" s="17">
        <f t="shared" si="92"/>
        <v>2.7634790030729509E-2</v>
      </c>
      <c r="R62" s="17">
        <f t="shared" si="93"/>
        <v>1.0916139285953969E-2</v>
      </c>
      <c r="S62" s="17">
        <f t="shared" si="94"/>
        <v>4.3218507802320468E-3</v>
      </c>
      <c r="T62" s="17">
        <f t="shared" si="42"/>
        <v>1.7359375522520962E-3</v>
      </c>
      <c r="U62" s="17">
        <f t="shared" si="43"/>
        <v>7.600496402729004E-4</v>
      </c>
      <c r="V62" s="17">
        <f t="shared" si="44"/>
        <v>4.8908291665620478E-4</v>
      </c>
      <c r="W62" s="17">
        <f t="shared" si="45"/>
        <v>6.7172460563384923E-4</v>
      </c>
      <c r="X62" s="17">
        <f t="shared" si="46"/>
        <v>1.4773689015013898E-3</v>
      </c>
      <c r="Y62" s="17">
        <f t="shared" si="47"/>
        <v>3.6532245447780669E-3</v>
      </c>
      <c r="Z62" s="17">
        <f t="shared" si="48"/>
        <v>9.2173264959345223E-3</v>
      </c>
      <c r="AA62" s="17">
        <f t="shared" si="49"/>
        <v>2.3330197373165804E-2</v>
      </c>
      <c r="AB62" s="17">
        <f t="shared" si="50"/>
        <v>5.9081063435972983E-2</v>
      </c>
      <c r="AC62" s="17">
        <f t="shared" si="51"/>
        <v>0.14962768393404643</v>
      </c>
      <c r="AD62" s="17">
        <f t="shared" si="52"/>
        <v>0.37894908858022486</v>
      </c>
      <c r="AE62" s="17">
        <f t="shared" si="53"/>
        <v>0.95973338156478072</v>
      </c>
      <c r="AF62" s="17">
        <f t="shared" si="54"/>
        <v>2.4306390034679204</v>
      </c>
      <c r="AG62" s="17">
        <f t="shared" si="55"/>
        <v>6.1558828212152665</v>
      </c>
      <c r="AH62" s="17">
        <f t="shared" si="56"/>
        <v>15.590506663395324</v>
      </c>
      <c r="AI62" s="17">
        <f t="shared" si="41"/>
        <v>39.484815639283291</v>
      </c>
      <c r="AJ62" s="16">
        <f t="shared" si="37"/>
        <v>100</v>
      </c>
      <c r="AN62" s="39"/>
      <c r="AO62" s="18">
        <f t="shared" si="4"/>
        <v>-1076400000</v>
      </c>
      <c r="AP62" s="19">
        <f t="shared" si="5"/>
        <v>0</v>
      </c>
      <c r="AQ62" s="19">
        <f t="shared" si="6"/>
        <v>0</v>
      </c>
      <c r="AR62" s="19">
        <f t="shared" si="7"/>
        <v>0</v>
      </c>
      <c r="AS62" s="19">
        <f t="shared" si="8"/>
        <v>0</v>
      </c>
      <c r="AT62" s="19">
        <f t="shared" si="9"/>
        <v>0</v>
      </c>
      <c r="AU62" s="19">
        <f t="shared" si="10"/>
        <v>0</v>
      </c>
      <c r="AV62" s="19">
        <f t="shared" si="11"/>
        <v>0</v>
      </c>
      <c r="AW62" s="19">
        <f t="shared" si="12"/>
        <v>0</v>
      </c>
      <c r="AX62" s="19">
        <f t="shared" si="13"/>
        <v>0</v>
      </c>
      <c r="AY62" s="19">
        <f t="shared" si="14"/>
        <v>0</v>
      </c>
      <c r="AZ62" s="19">
        <f t="shared" si="15"/>
        <v>0</v>
      </c>
      <c r="BA62" s="19">
        <f t="shared" si="16"/>
        <v>0</v>
      </c>
      <c r="BB62" s="19">
        <f t="shared" si="17"/>
        <v>0</v>
      </c>
      <c r="BC62" s="19">
        <f t="shared" si="18"/>
        <v>0</v>
      </c>
      <c r="BD62" s="19">
        <f t="shared" si="19"/>
        <v>0</v>
      </c>
      <c r="BE62" s="19">
        <f t="shared" si="20"/>
        <v>0</v>
      </c>
      <c r="BF62" s="19">
        <f t="shared" si="21"/>
        <v>0</v>
      </c>
      <c r="BG62" s="19">
        <f t="shared" si="22"/>
        <v>0</v>
      </c>
      <c r="BH62" s="19">
        <f t="shared" si="23"/>
        <v>0</v>
      </c>
      <c r="BI62" s="19">
        <f t="shared" si="24"/>
        <v>0</v>
      </c>
      <c r="BJ62" s="19">
        <f t="shared" si="25"/>
        <v>0</v>
      </c>
      <c r="BK62" s="19">
        <f t="shared" si="26"/>
        <v>0</v>
      </c>
      <c r="BL62" s="19">
        <f t="shared" si="27"/>
        <v>0</v>
      </c>
      <c r="BM62" s="19">
        <f t="shared" si="28"/>
        <v>0</v>
      </c>
      <c r="BN62" s="19">
        <f t="shared" si="29"/>
        <v>0</v>
      </c>
      <c r="BO62" s="19">
        <f t="shared" si="30"/>
        <v>0</v>
      </c>
      <c r="BP62" s="19">
        <f t="shared" si="31"/>
        <v>0</v>
      </c>
      <c r="BQ62" s="19">
        <f t="shared" si="32"/>
        <v>0</v>
      </c>
      <c r="BR62" s="18">
        <f t="shared" si="33"/>
        <v>-358800000</v>
      </c>
      <c r="BU62" s="37"/>
      <c r="BV62" s="24">
        <v>0</v>
      </c>
      <c r="BW62" s="20">
        <f t="shared" si="38"/>
        <v>0.3415922014622258</v>
      </c>
      <c r="BX62" s="20">
        <f t="shared" si="98"/>
        <v>0.3867162803971414</v>
      </c>
      <c r="BY62" s="20">
        <f t="shared" si="98"/>
        <v>0.39358441341045353</v>
      </c>
      <c r="BZ62" s="20">
        <f t="shared" si="98"/>
        <v>0.39465123071155611</v>
      </c>
      <c r="CA62" s="20">
        <f t="shared" si="98"/>
        <v>0.39481745705771337</v>
      </c>
      <c r="CB62" s="20">
        <f t="shared" si="98"/>
        <v>0.39484337025824801</v>
      </c>
      <c r="CC62" s="20">
        <f t="shared" si="98"/>
        <v>0.39484741020089792</v>
      </c>
      <c r="CD62" s="20">
        <f t="shared" si="98"/>
        <v>0.39484804004704999</v>
      </c>
      <c r="CE62" s="20">
        <f t="shared" si="98"/>
        <v>0.39484813824322279</v>
      </c>
      <c r="CF62" s="20">
        <f t="shared" si="98"/>
        <v>0.39484815355250286</v>
      </c>
      <c r="CG62" s="20">
        <f t="shared" si="98"/>
        <v>0.39484815593929717</v>
      </c>
      <c r="CH62" s="20">
        <f t="shared" si="98"/>
        <v>0.39484815631141046</v>
      </c>
      <c r="CI62" s="20">
        <f t="shared" si="98"/>
        <v>0.39484815636942483</v>
      </c>
      <c r="CJ62" s="20">
        <f t="shared" si="98"/>
        <v>0.39484815637846954</v>
      </c>
      <c r="CK62" s="20">
        <f t="shared" si="98"/>
        <v>0.39484815637987963</v>
      </c>
      <c r="CL62" s="20">
        <f t="shared" si="98"/>
        <v>0.39484815638009951</v>
      </c>
      <c r="CM62" s="20">
        <f t="shared" si="98"/>
        <v>0.39484815638013382</v>
      </c>
      <c r="CN62" s="20">
        <f t="shared" si="98"/>
        <v>0.39484815638013915</v>
      </c>
      <c r="CO62" s="20">
        <f t="shared" si="98"/>
        <v>0.39484815638013998</v>
      </c>
      <c r="CP62" s="20">
        <f t="shared" si="98"/>
        <v>0.39484815638014015</v>
      </c>
      <c r="CQ62" s="20">
        <f t="shared" si="98"/>
        <v>0.39484815638014015</v>
      </c>
      <c r="CR62" s="20">
        <f t="shared" si="98"/>
        <v>0.39484815638014015</v>
      </c>
      <c r="CS62" s="20">
        <f t="shared" si="98"/>
        <v>0.39484815638014015</v>
      </c>
      <c r="CT62" s="20">
        <f t="shared" si="98"/>
        <v>0.39484815638014015</v>
      </c>
      <c r="CU62" s="20">
        <f t="shared" si="98"/>
        <v>0.39484815638014015</v>
      </c>
      <c r="CV62" s="20">
        <f t="shared" si="98"/>
        <v>0.39484815638014015</v>
      </c>
      <c r="CW62" s="20">
        <f t="shared" si="98"/>
        <v>0.39484815638014015</v>
      </c>
      <c r="CX62" s="20">
        <f t="shared" si="98"/>
        <v>0.39484815638014015</v>
      </c>
      <c r="CY62" s="24">
        <f t="shared" si="98"/>
        <v>0.39484815638014015</v>
      </c>
      <c r="DB62" s="37"/>
      <c r="DC62" s="16">
        <f t="shared" si="39"/>
        <v>300</v>
      </c>
      <c r="DD62" s="20">
        <f t="shared" si="40"/>
        <v>102.47766043866774</v>
      </c>
      <c r="DE62" s="20">
        <f t="shared" si="95"/>
        <v>39.629779668642875</v>
      </c>
      <c r="DF62" s="20">
        <f t="shared" si="96"/>
        <v>15.597663584468325</v>
      </c>
      <c r="DG62" s="20">
        <f t="shared" si="97"/>
        <v>6.1556371298352461</v>
      </c>
      <c r="DH62" s="20">
        <f t="shared" si="58"/>
        <v>2.4303529981715934</v>
      </c>
      <c r="DI62" s="20">
        <f t="shared" si="59"/>
        <v>0.95960876871530965</v>
      </c>
      <c r="DJ62" s="20">
        <f t="shared" si="60"/>
        <v>0.37889903713331241</v>
      </c>
      <c r="DK62" s="20">
        <f t="shared" si="61"/>
        <v>0.14960754218780284</v>
      </c>
      <c r="DL62" s="20">
        <f t="shared" si="62"/>
        <v>5.9072259499998357E-2</v>
      </c>
      <c r="DM62" s="20">
        <f t="shared" si="63"/>
        <v>2.3324572589748647E-2</v>
      </c>
      <c r="DN62" s="20">
        <f t="shared" si="64"/>
        <v>9.2096644751345318E-3</v>
      </c>
      <c r="DO62" s="20">
        <f t="shared" si="65"/>
        <v>3.6364190382535641E-3</v>
      </c>
      <c r="DP62" s="20">
        <f t="shared" si="66"/>
        <v>1.4358333530410969E-3</v>
      </c>
      <c r="DQ62" s="20">
        <f t="shared" si="67"/>
        <v>5.6693615231499328E-4</v>
      </c>
      <c r="DR62" s="20">
        <f t="shared" si="68"/>
        <v>2.2385369452667772E-4</v>
      </c>
      <c r="DS62" s="20">
        <f t="shared" si="69"/>
        <v>8.8388218582732665E-5</v>
      </c>
      <c r="DT62" s="20">
        <f t="shared" si="70"/>
        <v>3.4899925153116278E-5</v>
      </c>
      <c r="DU62" s="20">
        <f t="shared" si="71"/>
        <v>1.3780171104512806E-5</v>
      </c>
      <c r="DV62" s="20">
        <f t="shared" si="72"/>
        <v>5.4410751552197585E-6</v>
      </c>
      <c r="DW62" s="20">
        <f t="shared" si="73"/>
        <v>2.1483984937643062E-6</v>
      </c>
      <c r="DX62" s="20">
        <f t="shared" si="74"/>
        <v>8.4829118443270635E-7</v>
      </c>
      <c r="DY62" s="20">
        <f t="shared" si="75"/>
        <v>3.3494621024677948E-7</v>
      </c>
      <c r="DZ62" s="20">
        <f t="shared" si="76"/>
        <v>1.3225289360245567E-7</v>
      </c>
      <c r="EA62" s="20">
        <f t="shared" si="77"/>
        <v>5.2219811214868452E-8</v>
      </c>
      <c r="EB62" s="20">
        <f t="shared" si="78"/>
        <v>2.0618896184709772E-8</v>
      </c>
      <c r="EC62" s="20">
        <f t="shared" si="79"/>
        <v>8.1413331451261602E-9</v>
      </c>
      <c r="ED62" s="20">
        <f t="shared" si="80"/>
        <v>3.2145903828295923E-9</v>
      </c>
      <c r="EE62" s="20">
        <f t="shared" si="81"/>
        <v>1.2692750861775935E-9</v>
      </c>
      <c r="EF62" s="24">
        <f t="shared" si="82"/>
        <v>36.620875384152697</v>
      </c>
    </row>
    <row r="63" spans="6:136" ht="15" customHeight="1" x14ac:dyDescent="0.25">
      <c r="F63" s="34"/>
      <c r="G63" s="16">
        <f t="shared" si="36"/>
        <v>300</v>
      </c>
      <c r="H63" s="17">
        <f t="shared" si="83"/>
        <v>118.45444691446514</v>
      </c>
      <c r="I63" s="17">
        <f t="shared" si="84"/>
        <v>46.771519980277262</v>
      </c>
      <c r="J63" s="17">
        <f t="shared" si="85"/>
        <v>18.467648438023144</v>
      </c>
      <c r="K63" s="17">
        <f t="shared" si="86"/>
        <v>7.2919169453029777</v>
      </c>
      <c r="L63" s="17">
        <f t="shared" si="87"/>
        <v>2.8791999797365877</v>
      </c>
      <c r="M63" s="17">
        <f t="shared" si="88"/>
        <v>1.1368468479330263</v>
      </c>
      <c r="N63" s="17">
        <f t="shared" si="89"/>
        <v>0.4488819936416657</v>
      </c>
      <c r="O63" s="17">
        <f t="shared" si="90"/>
        <v>0.17724051038538166</v>
      </c>
      <c r="P63" s="17">
        <f t="shared" si="91"/>
        <v>6.998380489437428E-2</v>
      </c>
      <c r="Q63" s="17">
        <f t="shared" si="92"/>
        <v>2.7634790030729509E-2</v>
      </c>
      <c r="R63" s="17">
        <f t="shared" si="93"/>
        <v>1.0916139285953969E-2</v>
      </c>
      <c r="S63" s="17">
        <f t="shared" si="94"/>
        <v>4.3218507802320468E-3</v>
      </c>
      <c r="T63" s="17">
        <f t="shared" si="42"/>
        <v>1.7359375522520962E-3</v>
      </c>
      <c r="U63" s="17">
        <f t="shared" si="43"/>
        <v>7.600496402729004E-4</v>
      </c>
      <c r="V63" s="17">
        <f t="shared" si="44"/>
        <v>4.8908291665620478E-4</v>
      </c>
      <c r="W63" s="17">
        <f t="shared" si="45"/>
        <v>6.7172460563384923E-4</v>
      </c>
      <c r="X63" s="17">
        <f t="shared" si="46"/>
        <v>1.4773689015013898E-3</v>
      </c>
      <c r="Y63" s="17">
        <f t="shared" si="47"/>
        <v>3.6532245447780669E-3</v>
      </c>
      <c r="Z63" s="17">
        <f t="shared" si="48"/>
        <v>9.2173264959345223E-3</v>
      </c>
      <c r="AA63" s="17">
        <f t="shared" si="49"/>
        <v>2.3330197373165804E-2</v>
      </c>
      <c r="AB63" s="17">
        <f t="shared" si="50"/>
        <v>5.9081063435972983E-2</v>
      </c>
      <c r="AC63" s="17">
        <f t="shared" si="51"/>
        <v>0.14962768393404643</v>
      </c>
      <c r="AD63" s="17">
        <f t="shared" si="52"/>
        <v>0.37894908858022486</v>
      </c>
      <c r="AE63" s="17">
        <f t="shared" si="53"/>
        <v>0.95973338156478072</v>
      </c>
      <c r="AF63" s="17">
        <f t="shared" si="54"/>
        <v>2.4306390034679204</v>
      </c>
      <c r="AG63" s="17">
        <f t="shared" si="55"/>
        <v>6.1558828212152665</v>
      </c>
      <c r="AH63" s="17">
        <f t="shared" si="56"/>
        <v>15.590506663395324</v>
      </c>
      <c r="AI63" s="17">
        <f t="shared" si="41"/>
        <v>39.484815639283291</v>
      </c>
      <c r="AJ63" s="16">
        <f t="shared" si="37"/>
        <v>100</v>
      </c>
      <c r="AN63" s="39"/>
      <c r="AO63" s="18">
        <f t="shared" si="4"/>
        <v>-1076400000</v>
      </c>
      <c r="AP63" s="19">
        <f t="shared" si="5"/>
        <v>0</v>
      </c>
      <c r="AQ63" s="19">
        <f t="shared" si="6"/>
        <v>0</v>
      </c>
      <c r="AR63" s="19">
        <f t="shared" si="7"/>
        <v>0</v>
      </c>
      <c r="AS63" s="19">
        <f t="shared" si="8"/>
        <v>0</v>
      </c>
      <c r="AT63" s="19">
        <f t="shared" si="9"/>
        <v>0</v>
      </c>
      <c r="AU63" s="19">
        <f t="shared" si="10"/>
        <v>0</v>
      </c>
      <c r="AV63" s="19">
        <f t="shared" si="11"/>
        <v>0</v>
      </c>
      <c r="AW63" s="19">
        <f t="shared" si="12"/>
        <v>0</v>
      </c>
      <c r="AX63" s="19">
        <f t="shared" si="13"/>
        <v>0</v>
      </c>
      <c r="AY63" s="19">
        <f t="shared" si="14"/>
        <v>0</v>
      </c>
      <c r="AZ63" s="19">
        <f t="shared" si="15"/>
        <v>0</v>
      </c>
      <c r="BA63" s="19">
        <f t="shared" si="16"/>
        <v>0</v>
      </c>
      <c r="BB63" s="19">
        <f t="shared" si="17"/>
        <v>0</v>
      </c>
      <c r="BC63" s="19">
        <f t="shared" si="18"/>
        <v>0</v>
      </c>
      <c r="BD63" s="19">
        <f t="shared" si="19"/>
        <v>0</v>
      </c>
      <c r="BE63" s="19">
        <f t="shared" si="20"/>
        <v>0</v>
      </c>
      <c r="BF63" s="19">
        <f t="shared" si="21"/>
        <v>0</v>
      </c>
      <c r="BG63" s="19">
        <f t="shared" si="22"/>
        <v>0</v>
      </c>
      <c r="BH63" s="19">
        <f t="shared" si="23"/>
        <v>0</v>
      </c>
      <c r="BI63" s="19">
        <f t="shared" si="24"/>
        <v>0</v>
      </c>
      <c r="BJ63" s="19">
        <f t="shared" si="25"/>
        <v>0</v>
      </c>
      <c r="BK63" s="19">
        <f t="shared" si="26"/>
        <v>0</v>
      </c>
      <c r="BL63" s="19">
        <f t="shared" si="27"/>
        <v>0</v>
      </c>
      <c r="BM63" s="19">
        <f t="shared" si="28"/>
        <v>0</v>
      </c>
      <c r="BN63" s="19">
        <f t="shared" si="29"/>
        <v>0</v>
      </c>
      <c r="BO63" s="19">
        <f t="shared" si="30"/>
        <v>0</v>
      </c>
      <c r="BP63" s="19">
        <f t="shared" si="31"/>
        <v>0</v>
      </c>
      <c r="BQ63" s="19">
        <f t="shared" si="32"/>
        <v>0</v>
      </c>
      <c r="BR63" s="18">
        <f t="shared" si="33"/>
        <v>-358800000</v>
      </c>
      <c r="BU63" s="37"/>
      <c r="BV63" s="24">
        <v>0</v>
      </c>
      <c r="BW63" s="20">
        <f t="shared" si="38"/>
        <v>0.3415922014622258</v>
      </c>
      <c r="BX63" s="20">
        <f t="shared" si="98"/>
        <v>0.3867162803971414</v>
      </c>
      <c r="BY63" s="20">
        <f t="shared" si="98"/>
        <v>0.39358441341045353</v>
      </c>
      <c r="BZ63" s="20">
        <f t="shared" si="98"/>
        <v>0.39465123071155611</v>
      </c>
      <c r="CA63" s="20">
        <f t="shared" si="98"/>
        <v>0.39481745705771337</v>
      </c>
      <c r="CB63" s="20">
        <f t="shared" si="98"/>
        <v>0.39484337025824801</v>
      </c>
      <c r="CC63" s="20">
        <f t="shared" si="98"/>
        <v>0.39484741020089792</v>
      </c>
      <c r="CD63" s="20">
        <f t="shared" si="98"/>
        <v>0.39484804004704999</v>
      </c>
      <c r="CE63" s="20">
        <f t="shared" si="98"/>
        <v>0.39484813824322279</v>
      </c>
      <c r="CF63" s="20">
        <f t="shared" si="98"/>
        <v>0.39484815355250286</v>
      </c>
      <c r="CG63" s="20">
        <f t="shared" si="98"/>
        <v>0.39484815593929717</v>
      </c>
      <c r="CH63" s="20">
        <f t="shared" si="98"/>
        <v>0.39484815631141046</v>
      </c>
      <c r="CI63" s="20">
        <f t="shared" si="98"/>
        <v>0.39484815636942483</v>
      </c>
      <c r="CJ63" s="20">
        <f t="shared" si="98"/>
        <v>0.39484815637846954</v>
      </c>
      <c r="CK63" s="20">
        <f t="shared" si="98"/>
        <v>0.39484815637987963</v>
      </c>
      <c r="CL63" s="20">
        <f t="shared" si="98"/>
        <v>0.39484815638009951</v>
      </c>
      <c r="CM63" s="20">
        <f t="shared" si="98"/>
        <v>0.39484815638013382</v>
      </c>
      <c r="CN63" s="20">
        <f t="shared" si="98"/>
        <v>0.39484815638013915</v>
      </c>
      <c r="CO63" s="20">
        <f t="shared" si="98"/>
        <v>0.39484815638013998</v>
      </c>
      <c r="CP63" s="20">
        <f t="shared" si="98"/>
        <v>0.39484815638014015</v>
      </c>
      <c r="CQ63" s="20">
        <f t="shared" si="98"/>
        <v>0.39484815638014015</v>
      </c>
      <c r="CR63" s="20">
        <f t="shared" si="98"/>
        <v>0.39484815638014015</v>
      </c>
      <c r="CS63" s="20">
        <f t="shared" si="98"/>
        <v>0.39484815638014015</v>
      </c>
      <c r="CT63" s="20">
        <f t="shared" si="98"/>
        <v>0.39484815638014015</v>
      </c>
      <c r="CU63" s="20">
        <f t="shared" si="98"/>
        <v>0.39484815638014015</v>
      </c>
      <c r="CV63" s="20">
        <f t="shared" si="98"/>
        <v>0.39484815638014015</v>
      </c>
      <c r="CW63" s="20">
        <f t="shared" si="98"/>
        <v>0.39484815638014015</v>
      </c>
      <c r="CX63" s="20">
        <f t="shared" si="98"/>
        <v>0.39484815638014015</v>
      </c>
      <c r="CY63" s="24">
        <f t="shared" si="98"/>
        <v>0.39484815638014015</v>
      </c>
      <c r="DB63" s="37"/>
      <c r="DC63" s="16">
        <f t="shared" si="39"/>
        <v>300</v>
      </c>
      <c r="DD63" s="20">
        <f t="shared" si="40"/>
        <v>102.47766043866774</v>
      </c>
      <c r="DE63" s="20">
        <f t="shared" si="95"/>
        <v>39.629779668642875</v>
      </c>
      <c r="DF63" s="20">
        <f t="shared" si="96"/>
        <v>15.597663584468325</v>
      </c>
      <c r="DG63" s="20">
        <f t="shared" si="97"/>
        <v>6.1556371298352461</v>
      </c>
      <c r="DH63" s="20">
        <f t="shared" si="58"/>
        <v>2.4303529981715934</v>
      </c>
      <c r="DI63" s="20">
        <f t="shared" si="59"/>
        <v>0.95960876871530965</v>
      </c>
      <c r="DJ63" s="20">
        <f t="shared" si="60"/>
        <v>0.37889903713331241</v>
      </c>
      <c r="DK63" s="20">
        <f t="shared" si="61"/>
        <v>0.14960754218780284</v>
      </c>
      <c r="DL63" s="20">
        <f t="shared" si="62"/>
        <v>5.9072259499998357E-2</v>
      </c>
      <c r="DM63" s="20">
        <f t="shared" si="63"/>
        <v>2.3324572589748647E-2</v>
      </c>
      <c r="DN63" s="20">
        <f t="shared" si="64"/>
        <v>9.2096644751345318E-3</v>
      </c>
      <c r="DO63" s="20">
        <f t="shared" si="65"/>
        <v>3.6364190382535641E-3</v>
      </c>
      <c r="DP63" s="20">
        <f t="shared" si="66"/>
        <v>1.4358333530410969E-3</v>
      </c>
      <c r="DQ63" s="20">
        <f t="shared" si="67"/>
        <v>5.6693615231499328E-4</v>
      </c>
      <c r="DR63" s="20">
        <f t="shared" si="68"/>
        <v>2.2385369452667772E-4</v>
      </c>
      <c r="DS63" s="20">
        <f t="shared" si="69"/>
        <v>8.8388218582732665E-5</v>
      </c>
      <c r="DT63" s="20">
        <f t="shared" si="70"/>
        <v>3.4899925153116278E-5</v>
      </c>
      <c r="DU63" s="20">
        <f t="shared" si="71"/>
        <v>1.3780171104512806E-5</v>
      </c>
      <c r="DV63" s="20">
        <f t="shared" si="72"/>
        <v>5.4410751552197585E-6</v>
      </c>
      <c r="DW63" s="20">
        <f t="shared" si="73"/>
        <v>2.1483984937643062E-6</v>
      </c>
      <c r="DX63" s="20">
        <f t="shared" si="74"/>
        <v>8.4829118443270635E-7</v>
      </c>
      <c r="DY63" s="20">
        <f t="shared" si="75"/>
        <v>3.3494621024677948E-7</v>
      </c>
      <c r="DZ63" s="20">
        <f t="shared" si="76"/>
        <v>1.3225289360245567E-7</v>
      </c>
      <c r="EA63" s="20">
        <f t="shared" si="77"/>
        <v>5.2219811214868452E-8</v>
      </c>
      <c r="EB63" s="20">
        <f t="shared" si="78"/>
        <v>2.0618896184709772E-8</v>
      </c>
      <c r="EC63" s="20">
        <f t="shared" si="79"/>
        <v>8.1413331451261602E-9</v>
      </c>
      <c r="ED63" s="20">
        <f t="shared" si="80"/>
        <v>3.2145903828295923E-9</v>
      </c>
      <c r="EE63" s="20">
        <f t="shared" si="81"/>
        <v>1.2692750861775935E-9</v>
      </c>
      <c r="EF63" s="24">
        <f t="shared" si="82"/>
        <v>36.620875384152697</v>
      </c>
    </row>
    <row r="64" spans="6:136" ht="15" customHeight="1" x14ac:dyDescent="0.25">
      <c r="F64" s="34"/>
      <c r="G64" s="16">
        <f t="shared" si="36"/>
        <v>300</v>
      </c>
      <c r="H64" s="17">
        <f t="shared" si="83"/>
        <v>118.45444691446514</v>
      </c>
      <c r="I64" s="17">
        <f t="shared" si="84"/>
        <v>46.771519980277262</v>
      </c>
      <c r="J64" s="17">
        <f t="shared" si="85"/>
        <v>18.467648438023144</v>
      </c>
      <c r="K64" s="17">
        <f t="shared" si="86"/>
        <v>7.2919169453029777</v>
      </c>
      <c r="L64" s="17">
        <f t="shared" si="87"/>
        <v>2.8791999797365877</v>
      </c>
      <c r="M64" s="17">
        <f t="shared" si="88"/>
        <v>1.1368468479330263</v>
      </c>
      <c r="N64" s="17">
        <f t="shared" si="89"/>
        <v>0.4488819936416657</v>
      </c>
      <c r="O64" s="17">
        <f t="shared" si="90"/>
        <v>0.17724051038538166</v>
      </c>
      <c r="P64" s="17">
        <f t="shared" si="91"/>
        <v>6.998380489437428E-2</v>
      </c>
      <c r="Q64" s="17">
        <f t="shared" si="92"/>
        <v>2.7634790030729509E-2</v>
      </c>
      <c r="R64" s="17">
        <f t="shared" si="93"/>
        <v>1.0916139285953969E-2</v>
      </c>
      <c r="S64" s="17">
        <f t="shared" si="94"/>
        <v>4.3218507802320468E-3</v>
      </c>
      <c r="T64" s="17">
        <f t="shared" si="42"/>
        <v>1.7359375522520962E-3</v>
      </c>
      <c r="U64" s="17">
        <f t="shared" si="43"/>
        <v>7.600496402729004E-4</v>
      </c>
      <c r="V64" s="17">
        <f t="shared" si="44"/>
        <v>4.8908291665620478E-4</v>
      </c>
      <c r="W64" s="17">
        <f t="shared" si="45"/>
        <v>6.7172460563384923E-4</v>
      </c>
      <c r="X64" s="17">
        <f t="shared" si="46"/>
        <v>1.4773689015013898E-3</v>
      </c>
      <c r="Y64" s="17">
        <f t="shared" si="47"/>
        <v>3.6532245447780669E-3</v>
      </c>
      <c r="Z64" s="17">
        <f t="shared" si="48"/>
        <v>9.2173264959345223E-3</v>
      </c>
      <c r="AA64" s="17">
        <f t="shared" si="49"/>
        <v>2.3330197373165804E-2</v>
      </c>
      <c r="AB64" s="17">
        <f t="shared" si="50"/>
        <v>5.9081063435972983E-2</v>
      </c>
      <c r="AC64" s="17">
        <f t="shared" si="51"/>
        <v>0.14962768393404643</v>
      </c>
      <c r="AD64" s="17">
        <f t="shared" si="52"/>
        <v>0.37894908858022486</v>
      </c>
      <c r="AE64" s="17">
        <f t="shared" si="53"/>
        <v>0.95973338156478072</v>
      </c>
      <c r="AF64" s="17">
        <f t="shared" si="54"/>
        <v>2.4306390034679204</v>
      </c>
      <c r="AG64" s="17">
        <f t="shared" si="55"/>
        <v>6.1558828212152665</v>
      </c>
      <c r="AH64" s="17">
        <f t="shared" si="56"/>
        <v>15.590506663395324</v>
      </c>
      <c r="AI64" s="17">
        <f t="shared" si="41"/>
        <v>39.484815639283291</v>
      </c>
      <c r="AJ64" s="16">
        <f t="shared" si="37"/>
        <v>100</v>
      </c>
      <c r="AN64" s="39"/>
      <c r="AO64" s="18">
        <f t="shared" si="4"/>
        <v>-1076400000</v>
      </c>
      <c r="AP64" s="19">
        <f t="shared" si="5"/>
        <v>0</v>
      </c>
      <c r="AQ64" s="19">
        <f t="shared" si="6"/>
        <v>0</v>
      </c>
      <c r="AR64" s="19">
        <f t="shared" si="7"/>
        <v>0</v>
      </c>
      <c r="AS64" s="19">
        <f t="shared" si="8"/>
        <v>0</v>
      </c>
      <c r="AT64" s="19">
        <f t="shared" si="9"/>
        <v>0</v>
      </c>
      <c r="AU64" s="19">
        <f t="shared" si="10"/>
        <v>0</v>
      </c>
      <c r="AV64" s="19">
        <f t="shared" si="11"/>
        <v>0</v>
      </c>
      <c r="AW64" s="19">
        <f t="shared" si="12"/>
        <v>0</v>
      </c>
      <c r="AX64" s="19">
        <f t="shared" si="13"/>
        <v>0</v>
      </c>
      <c r="AY64" s="19">
        <f t="shared" si="14"/>
        <v>0</v>
      </c>
      <c r="AZ64" s="19">
        <f t="shared" si="15"/>
        <v>0</v>
      </c>
      <c r="BA64" s="19">
        <f t="shared" si="16"/>
        <v>0</v>
      </c>
      <c r="BB64" s="19">
        <f t="shared" si="17"/>
        <v>0</v>
      </c>
      <c r="BC64" s="19">
        <f t="shared" si="18"/>
        <v>0</v>
      </c>
      <c r="BD64" s="19">
        <f t="shared" si="19"/>
        <v>0</v>
      </c>
      <c r="BE64" s="19">
        <f t="shared" si="20"/>
        <v>0</v>
      </c>
      <c r="BF64" s="19">
        <f t="shared" si="21"/>
        <v>0</v>
      </c>
      <c r="BG64" s="19">
        <f t="shared" si="22"/>
        <v>0</v>
      </c>
      <c r="BH64" s="19">
        <f t="shared" si="23"/>
        <v>0</v>
      </c>
      <c r="BI64" s="19">
        <f t="shared" si="24"/>
        <v>0</v>
      </c>
      <c r="BJ64" s="19">
        <f t="shared" si="25"/>
        <v>0</v>
      </c>
      <c r="BK64" s="19">
        <f t="shared" si="26"/>
        <v>0</v>
      </c>
      <c r="BL64" s="19">
        <f t="shared" si="27"/>
        <v>0</v>
      </c>
      <c r="BM64" s="19">
        <f t="shared" si="28"/>
        <v>0</v>
      </c>
      <c r="BN64" s="19">
        <f t="shared" si="29"/>
        <v>0</v>
      </c>
      <c r="BO64" s="19">
        <f t="shared" si="30"/>
        <v>0</v>
      </c>
      <c r="BP64" s="19">
        <f t="shared" si="31"/>
        <v>0</v>
      </c>
      <c r="BQ64" s="19">
        <f t="shared" si="32"/>
        <v>0</v>
      </c>
      <c r="BR64" s="18">
        <f t="shared" si="33"/>
        <v>-358800000</v>
      </c>
      <c r="BU64" s="37"/>
      <c r="BV64" s="24">
        <v>0</v>
      </c>
      <c r="BW64" s="20">
        <f t="shared" si="38"/>
        <v>0.3415922014622258</v>
      </c>
      <c r="BX64" s="20">
        <f t="shared" si="98"/>
        <v>0.3867162803971414</v>
      </c>
      <c r="BY64" s="20">
        <f t="shared" si="98"/>
        <v>0.39358441341045353</v>
      </c>
      <c r="BZ64" s="20">
        <f t="shared" si="98"/>
        <v>0.39465123071155611</v>
      </c>
      <c r="CA64" s="20">
        <f t="shared" si="98"/>
        <v>0.39481745705771337</v>
      </c>
      <c r="CB64" s="20">
        <f t="shared" si="98"/>
        <v>0.39484337025824801</v>
      </c>
      <c r="CC64" s="20">
        <f t="shared" si="98"/>
        <v>0.39484741020089792</v>
      </c>
      <c r="CD64" s="20">
        <f t="shared" si="98"/>
        <v>0.39484804004704999</v>
      </c>
      <c r="CE64" s="20">
        <f t="shared" si="98"/>
        <v>0.39484813824322279</v>
      </c>
      <c r="CF64" s="20">
        <f t="shared" si="98"/>
        <v>0.39484815355250286</v>
      </c>
      <c r="CG64" s="20">
        <f t="shared" si="98"/>
        <v>0.39484815593929717</v>
      </c>
      <c r="CH64" s="20">
        <f t="shared" si="98"/>
        <v>0.39484815631141046</v>
      </c>
      <c r="CI64" s="20">
        <f t="shared" si="98"/>
        <v>0.39484815636942483</v>
      </c>
      <c r="CJ64" s="20">
        <f t="shared" si="98"/>
        <v>0.39484815637846954</v>
      </c>
      <c r="CK64" s="20">
        <f t="shared" si="98"/>
        <v>0.39484815637987963</v>
      </c>
      <c r="CL64" s="20">
        <f t="shared" si="98"/>
        <v>0.39484815638009951</v>
      </c>
      <c r="CM64" s="20">
        <f t="shared" si="98"/>
        <v>0.39484815638013382</v>
      </c>
      <c r="CN64" s="20">
        <f t="shared" si="98"/>
        <v>0.39484815638013915</v>
      </c>
      <c r="CO64" s="20">
        <f t="shared" si="98"/>
        <v>0.39484815638013998</v>
      </c>
      <c r="CP64" s="20">
        <f t="shared" si="98"/>
        <v>0.39484815638014015</v>
      </c>
      <c r="CQ64" s="20">
        <f t="shared" si="98"/>
        <v>0.39484815638014015</v>
      </c>
      <c r="CR64" s="20">
        <f t="shared" si="98"/>
        <v>0.39484815638014015</v>
      </c>
      <c r="CS64" s="20">
        <f t="shared" si="98"/>
        <v>0.39484815638014015</v>
      </c>
      <c r="CT64" s="20">
        <f t="shared" si="98"/>
        <v>0.39484815638014015</v>
      </c>
      <c r="CU64" s="20">
        <f t="shared" si="98"/>
        <v>0.39484815638014015</v>
      </c>
      <c r="CV64" s="20">
        <f t="shared" ref="BX64:CY66" si="99">$C$18/($C$19-$C$20*CU64)</f>
        <v>0.39484815638014015</v>
      </c>
      <c r="CW64" s="20">
        <f t="shared" si="99"/>
        <v>0.39484815638014015</v>
      </c>
      <c r="CX64" s="20">
        <f t="shared" si="99"/>
        <v>0.39484815638014015</v>
      </c>
      <c r="CY64" s="24">
        <f t="shared" si="99"/>
        <v>0.39484815638014015</v>
      </c>
      <c r="DB64" s="37"/>
      <c r="DC64" s="16">
        <f t="shared" si="39"/>
        <v>300</v>
      </c>
      <c r="DD64" s="20">
        <f t="shared" si="40"/>
        <v>102.47766043866774</v>
      </c>
      <c r="DE64" s="20">
        <f t="shared" si="95"/>
        <v>39.629779668642875</v>
      </c>
      <c r="DF64" s="20">
        <f t="shared" si="96"/>
        <v>15.597663584468325</v>
      </c>
      <c r="DG64" s="20">
        <f t="shared" si="97"/>
        <v>6.1556371298352461</v>
      </c>
      <c r="DH64" s="20">
        <f t="shared" si="58"/>
        <v>2.4303529981715934</v>
      </c>
      <c r="DI64" s="20">
        <f t="shared" si="59"/>
        <v>0.95960876871530965</v>
      </c>
      <c r="DJ64" s="20">
        <f t="shared" si="60"/>
        <v>0.37889903713331241</v>
      </c>
      <c r="DK64" s="20">
        <f t="shared" si="61"/>
        <v>0.14960754218780284</v>
      </c>
      <c r="DL64" s="20">
        <f t="shared" si="62"/>
        <v>5.9072259499998357E-2</v>
      </c>
      <c r="DM64" s="20">
        <f t="shared" si="63"/>
        <v>2.3324572589748647E-2</v>
      </c>
      <c r="DN64" s="20">
        <f t="shared" si="64"/>
        <v>9.2096644751345318E-3</v>
      </c>
      <c r="DO64" s="20">
        <f t="shared" si="65"/>
        <v>3.6364190382535641E-3</v>
      </c>
      <c r="DP64" s="20">
        <f t="shared" si="66"/>
        <v>1.4358333530410969E-3</v>
      </c>
      <c r="DQ64" s="20">
        <f t="shared" si="67"/>
        <v>5.6693615231499328E-4</v>
      </c>
      <c r="DR64" s="20">
        <f t="shared" si="68"/>
        <v>2.2385369452667772E-4</v>
      </c>
      <c r="DS64" s="20">
        <f t="shared" si="69"/>
        <v>8.8388218582732665E-5</v>
      </c>
      <c r="DT64" s="20">
        <f t="shared" si="70"/>
        <v>3.4899925153116278E-5</v>
      </c>
      <c r="DU64" s="20">
        <f t="shared" si="71"/>
        <v>1.3780171104512806E-5</v>
      </c>
      <c r="DV64" s="20">
        <f t="shared" si="72"/>
        <v>5.4410751552197585E-6</v>
      </c>
      <c r="DW64" s="20">
        <f t="shared" si="73"/>
        <v>2.1483984937643062E-6</v>
      </c>
      <c r="DX64" s="20">
        <f t="shared" si="74"/>
        <v>8.4829118443270635E-7</v>
      </c>
      <c r="DY64" s="20">
        <f t="shared" si="75"/>
        <v>3.3494621024677948E-7</v>
      </c>
      <c r="DZ64" s="20">
        <f t="shared" si="76"/>
        <v>1.3225289360245567E-7</v>
      </c>
      <c r="EA64" s="20">
        <f t="shared" si="77"/>
        <v>5.2219811214868452E-8</v>
      </c>
      <c r="EB64" s="20">
        <f t="shared" si="78"/>
        <v>2.0618896184709772E-8</v>
      </c>
      <c r="EC64" s="20">
        <f t="shared" si="79"/>
        <v>8.1413331451261602E-9</v>
      </c>
      <c r="ED64" s="20">
        <f t="shared" si="80"/>
        <v>3.2145903828295923E-9</v>
      </c>
      <c r="EE64" s="20">
        <f t="shared" si="81"/>
        <v>1.2692750861775935E-9</v>
      </c>
      <c r="EF64" s="24">
        <f t="shared" si="82"/>
        <v>36.620875384152697</v>
      </c>
    </row>
    <row r="65" spans="6:136" ht="15" customHeight="1" x14ac:dyDescent="0.25">
      <c r="F65" s="34"/>
      <c r="G65" s="16">
        <f t="shared" si="36"/>
        <v>300</v>
      </c>
      <c r="H65" s="17">
        <f t="shared" si="83"/>
        <v>118.45444691446514</v>
      </c>
      <c r="I65" s="17">
        <f t="shared" si="84"/>
        <v>46.771519980277262</v>
      </c>
      <c r="J65" s="17">
        <f t="shared" si="85"/>
        <v>18.467648438023144</v>
      </c>
      <c r="K65" s="17">
        <f t="shared" si="86"/>
        <v>7.2919169453029777</v>
      </c>
      <c r="L65" s="17">
        <f t="shared" si="87"/>
        <v>2.8791999797365877</v>
      </c>
      <c r="M65" s="17">
        <f t="shared" si="88"/>
        <v>1.1368468479330263</v>
      </c>
      <c r="N65" s="17">
        <f t="shared" si="89"/>
        <v>0.4488819936416657</v>
      </c>
      <c r="O65" s="17">
        <f t="shared" si="90"/>
        <v>0.17724051038538166</v>
      </c>
      <c r="P65" s="17">
        <f t="shared" si="91"/>
        <v>6.998380489437428E-2</v>
      </c>
      <c r="Q65" s="17">
        <f t="shared" si="92"/>
        <v>2.7634790030729509E-2</v>
      </c>
      <c r="R65" s="17">
        <f t="shared" si="93"/>
        <v>1.0916139285953969E-2</v>
      </c>
      <c r="S65" s="17">
        <f t="shared" si="94"/>
        <v>4.3218507802320468E-3</v>
      </c>
      <c r="T65" s="17">
        <f t="shared" si="42"/>
        <v>1.7359375522520962E-3</v>
      </c>
      <c r="U65" s="17">
        <f t="shared" si="43"/>
        <v>7.600496402729004E-4</v>
      </c>
      <c r="V65" s="17">
        <f t="shared" si="44"/>
        <v>4.8908291665620478E-4</v>
      </c>
      <c r="W65" s="17">
        <f t="shared" si="45"/>
        <v>6.7172460563384923E-4</v>
      </c>
      <c r="X65" s="17">
        <f t="shared" si="46"/>
        <v>1.4773689015013898E-3</v>
      </c>
      <c r="Y65" s="17">
        <f t="shared" si="47"/>
        <v>3.6532245447780669E-3</v>
      </c>
      <c r="Z65" s="17">
        <f t="shared" si="48"/>
        <v>9.2173264959345223E-3</v>
      </c>
      <c r="AA65" s="17">
        <f t="shared" si="49"/>
        <v>2.3330197373165804E-2</v>
      </c>
      <c r="AB65" s="17">
        <f t="shared" si="50"/>
        <v>5.9081063435972983E-2</v>
      </c>
      <c r="AC65" s="17">
        <f t="shared" si="51"/>
        <v>0.14962768393404643</v>
      </c>
      <c r="AD65" s="17">
        <f t="shared" si="52"/>
        <v>0.37894908858022486</v>
      </c>
      <c r="AE65" s="17">
        <f t="shared" si="53"/>
        <v>0.95973338156478072</v>
      </c>
      <c r="AF65" s="17">
        <f t="shared" si="54"/>
        <v>2.4306390034679204</v>
      </c>
      <c r="AG65" s="17">
        <f t="shared" si="55"/>
        <v>6.1558828212152665</v>
      </c>
      <c r="AH65" s="17">
        <f t="shared" si="56"/>
        <v>15.590506663395324</v>
      </c>
      <c r="AI65" s="17">
        <f t="shared" si="41"/>
        <v>39.484815639283291</v>
      </c>
      <c r="AJ65" s="16">
        <f>$C$15</f>
        <v>100</v>
      </c>
      <c r="AN65" s="39"/>
      <c r="AO65" s="18">
        <f t="shared" si="4"/>
        <v>-1076400000</v>
      </c>
      <c r="AP65" s="19">
        <f t="shared" si="5"/>
        <v>0</v>
      </c>
      <c r="AQ65" s="19">
        <f t="shared" si="6"/>
        <v>0</v>
      </c>
      <c r="AR65" s="19">
        <f t="shared" si="7"/>
        <v>0</v>
      </c>
      <c r="AS65" s="19">
        <f t="shared" si="8"/>
        <v>0</v>
      </c>
      <c r="AT65" s="19">
        <f t="shared" si="9"/>
        <v>0</v>
      </c>
      <c r="AU65" s="19">
        <f t="shared" si="10"/>
        <v>0</v>
      </c>
      <c r="AV65" s="19">
        <f t="shared" si="11"/>
        <v>0</v>
      </c>
      <c r="AW65" s="19">
        <f t="shared" si="12"/>
        <v>0</v>
      </c>
      <c r="AX65" s="19">
        <f t="shared" si="13"/>
        <v>0</v>
      </c>
      <c r="AY65" s="19">
        <f t="shared" si="14"/>
        <v>0</v>
      </c>
      <c r="AZ65" s="19">
        <f t="shared" si="15"/>
        <v>0</v>
      </c>
      <c r="BA65" s="19">
        <f t="shared" si="16"/>
        <v>0</v>
      </c>
      <c r="BB65" s="19">
        <f t="shared" si="17"/>
        <v>0</v>
      </c>
      <c r="BC65" s="19">
        <f t="shared" si="18"/>
        <v>0</v>
      </c>
      <c r="BD65" s="19">
        <f t="shared" si="19"/>
        <v>0</v>
      </c>
      <c r="BE65" s="19">
        <f t="shared" si="20"/>
        <v>0</v>
      </c>
      <c r="BF65" s="19">
        <f t="shared" si="21"/>
        <v>0</v>
      </c>
      <c r="BG65" s="19">
        <f t="shared" si="22"/>
        <v>0</v>
      </c>
      <c r="BH65" s="19">
        <f t="shared" si="23"/>
        <v>0</v>
      </c>
      <c r="BI65" s="19">
        <f t="shared" si="24"/>
        <v>0</v>
      </c>
      <c r="BJ65" s="19">
        <f t="shared" si="25"/>
        <v>0</v>
      </c>
      <c r="BK65" s="19">
        <f t="shared" si="26"/>
        <v>0</v>
      </c>
      <c r="BL65" s="19">
        <f t="shared" si="27"/>
        <v>0</v>
      </c>
      <c r="BM65" s="19">
        <f t="shared" si="28"/>
        <v>0</v>
      </c>
      <c r="BN65" s="19">
        <f t="shared" si="29"/>
        <v>0</v>
      </c>
      <c r="BO65" s="19">
        <f t="shared" si="30"/>
        <v>0</v>
      </c>
      <c r="BP65" s="19">
        <f t="shared" si="31"/>
        <v>0</v>
      </c>
      <c r="BQ65" s="19">
        <f t="shared" si="32"/>
        <v>0</v>
      </c>
      <c r="BR65" s="18">
        <f t="shared" si="33"/>
        <v>-358800000</v>
      </c>
      <c r="BU65" s="37"/>
      <c r="BV65" s="24">
        <v>0</v>
      </c>
      <c r="BW65" s="20">
        <f t="shared" si="38"/>
        <v>0.3415922014622258</v>
      </c>
      <c r="BX65" s="20">
        <f t="shared" si="99"/>
        <v>0.3867162803971414</v>
      </c>
      <c r="BY65" s="20">
        <f t="shared" si="99"/>
        <v>0.39358441341045353</v>
      </c>
      <c r="BZ65" s="20">
        <f t="shared" si="99"/>
        <v>0.39465123071155611</v>
      </c>
      <c r="CA65" s="20">
        <f t="shared" si="99"/>
        <v>0.39481745705771337</v>
      </c>
      <c r="CB65" s="20">
        <f t="shared" si="99"/>
        <v>0.39484337025824801</v>
      </c>
      <c r="CC65" s="20">
        <f t="shared" si="99"/>
        <v>0.39484741020089792</v>
      </c>
      <c r="CD65" s="20">
        <f t="shared" si="99"/>
        <v>0.39484804004704999</v>
      </c>
      <c r="CE65" s="20">
        <f t="shared" si="99"/>
        <v>0.39484813824322279</v>
      </c>
      <c r="CF65" s="20">
        <f t="shared" si="99"/>
        <v>0.39484815355250286</v>
      </c>
      <c r="CG65" s="20">
        <f t="shared" si="99"/>
        <v>0.39484815593929717</v>
      </c>
      <c r="CH65" s="20">
        <f t="shared" si="99"/>
        <v>0.39484815631141046</v>
      </c>
      <c r="CI65" s="20">
        <f t="shared" si="99"/>
        <v>0.39484815636942483</v>
      </c>
      <c r="CJ65" s="20">
        <f t="shared" si="99"/>
        <v>0.39484815637846954</v>
      </c>
      <c r="CK65" s="20">
        <f t="shared" si="99"/>
        <v>0.39484815637987963</v>
      </c>
      <c r="CL65" s="20">
        <f t="shared" si="99"/>
        <v>0.39484815638009951</v>
      </c>
      <c r="CM65" s="20">
        <f t="shared" si="99"/>
        <v>0.39484815638013382</v>
      </c>
      <c r="CN65" s="20">
        <f t="shared" si="99"/>
        <v>0.39484815638013915</v>
      </c>
      <c r="CO65" s="20">
        <f t="shared" si="99"/>
        <v>0.39484815638013998</v>
      </c>
      <c r="CP65" s="20">
        <f t="shared" si="99"/>
        <v>0.39484815638014015</v>
      </c>
      <c r="CQ65" s="20">
        <f t="shared" si="99"/>
        <v>0.39484815638014015</v>
      </c>
      <c r="CR65" s="20">
        <f t="shared" si="99"/>
        <v>0.39484815638014015</v>
      </c>
      <c r="CS65" s="20">
        <f t="shared" si="99"/>
        <v>0.39484815638014015</v>
      </c>
      <c r="CT65" s="20">
        <f t="shared" si="99"/>
        <v>0.39484815638014015</v>
      </c>
      <c r="CU65" s="20">
        <f t="shared" si="99"/>
        <v>0.39484815638014015</v>
      </c>
      <c r="CV65" s="20">
        <f t="shared" si="99"/>
        <v>0.39484815638014015</v>
      </c>
      <c r="CW65" s="20">
        <f t="shared" si="99"/>
        <v>0.39484815638014015</v>
      </c>
      <c r="CX65" s="20">
        <f t="shared" si="99"/>
        <v>0.39484815638014015</v>
      </c>
      <c r="CY65" s="24">
        <f t="shared" si="99"/>
        <v>0.39484815638014015</v>
      </c>
      <c r="DB65" s="37"/>
      <c r="DC65" s="16">
        <f t="shared" si="39"/>
        <v>300</v>
      </c>
      <c r="DD65" s="20">
        <f t="shared" si="40"/>
        <v>102.47766043866774</v>
      </c>
      <c r="DE65" s="20">
        <f t="shared" si="95"/>
        <v>39.629779668642875</v>
      </c>
      <c r="DF65" s="20">
        <f t="shared" si="96"/>
        <v>15.597663584468325</v>
      </c>
      <c r="DG65" s="20">
        <f t="shared" si="97"/>
        <v>6.1556371298352461</v>
      </c>
      <c r="DH65" s="20">
        <f t="shared" si="58"/>
        <v>2.4303529981715934</v>
      </c>
      <c r="DI65" s="20">
        <f t="shared" si="59"/>
        <v>0.95960876871530965</v>
      </c>
      <c r="DJ65" s="20">
        <f t="shared" si="60"/>
        <v>0.37889903713331241</v>
      </c>
      <c r="DK65" s="20">
        <f t="shared" si="61"/>
        <v>0.14960754218780284</v>
      </c>
      <c r="DL65" s="20">
        <f t="shared" si="62"/>
        <v>5.9072259499998357E-2</v>
      </c>
      <c r="DM65" s="20">
        <f t="shared" si="63"/>
        <v>2.3324572589748647E-2</v>
      </c>
      <c r="DN65" s="20">
        <f t="shared" si="64"/>
        <v>9.2096644751345318E-3</v>
      </c>
      <c r="DO65" s="20">
        <f t="shared" si="65"/>
        <v>3.6364190382535641E-3</v>
      </c>
      <c r="DP65" s="20">
        <f t="shared" si="66"/>
        <v>1.4358333530410969E-3</v>
      </c>
      <c r="DQ65" s="20">
        <f t="shared" si="67"/>
        <v>5.6693615231499328E-4</v>
      </c>
      <c r="DR65" s="20">
        <f t="shared" si="68"/>
        <v>2.2385369452667772E-4</v>
      </c>
      <c r="DS65" s="20">
        <f t="shared" si="69"/>
        <v>8.8388218582732665E-5</v>
      </c>
      <c r="DT65" s="20">
        <f t="shared" si="70"/>
        <v>3.4899925153116278E-5</v>
      </c>
      <c r="DU65" s="20">
        <f t="shared" si="71"/>
        <v>1.3780171104512806E-5</v>
      </c>
      <c r="DV65" s="20">
        <f t="shared" si="72"/>
        <v>5.4410751552197585E-6</v>
      </c>
      <c r="DW65" s="20">
        <f t="shared" si="73"/>
        <v>2.1483984937643062E-6</v>
      </c>
      <c r="DX65" s="20">
        <f t="shared" si="74"/>
        <v>8.4829118443270635E-7</v>
      </c>
      <c r="DY65" s="20">
        <f t="shared" si="75"/>
        <v>3.3494621024677948E-7</v>
      </c>
      <c r="DZ65" s="20">
        <f t="shared" si="76"/>
        <v>1.3225289360245567E-7</v>
      </c>
      <c r="EA65" s="20">
        <f t="shared" si="77"/>
        <v>5.2219811214868452E-8</v>
      </c>
      <c r="EB65" s="20">
        <f t="shared" si="78"/>
        <v>2.0618896184709772E-8</v>
      </c>
      <c r="EC65" s="20">
        <f t="shared" si="79"/>
        <v>8.1413331451261602E-9</v>
      </c>
      <c r="ED65" s="20">
        <f t="shared" si="80"/>
        <v>3.2145903828295923E-9</v>
      </c>
      <c r="EE65" s="20">
        <f t="shared" si="81"/>
        <v>1.2692750861775935E-9</v>
      </c>
      <c r="EF65" s="24">
        <f t="shared" si="82"/>
        <v>36.620875384152697</v>
      </c>
    </row>
    <row r="66" spans="6:136" ht="15" customHeight="1" x14ac:dyDescent="0.25">
      <c r="F66" s="34"/>
      <c r="G66" s="16">
        <f t="shared" si="36"/>
        <v>300</v>
      </c>
      <c r="H66" s="23">
        <f>BW66*I66+DD66</f>
        <v>118.45444691446514</v>
      </c>
      <c r="I66" s="23">
        <f t="shared" si="84"/>
        <v>46.771519980277262</v>
      </c>
      <c r="J66" s="23">
        <f t="shared" si="85"/>
        <v>18.467648438023144</v>
      </c>
      <c r="K66" s="23">
        <f t="shared" si="86"/>
        <v>7.2919169453029777</v>
      </c>
      <c r="L66" s="23">
        <f t="shared" si="87"/>
        <v>2.8791999797365877</v>
      </c>
      <c r="M66" s="23">
        <f t="shared" si="88"/>
        <v>1.1368468479330263</v>
      </c>
      <c r="N66" s="23">
        <f t="shared" si="89"/>
        <v>0.4488819936416657</v>
      </c>
      <c r="O66" s="23">
        <f t="shared" si="90"/>
        <v>0.17724051038538166</v>
      </c>
      <c r="P66" s="23">
        <f t="shared" si="91"/>
        <v>6.998380489437428E-2</v>
      </c>
      <c r="Q66" s="23">
        <f t="shared" si="92"/>
        <v>2.7634790030729509E-2</v>
      </c>
      <c r="R66" s="23">
        <f t="shared" si="93"/>
        <v>1.0916139285953969E-2</v>
      </c>
      <c r="S66" s="23">
        <f t="shared" si="94"/>
        <v>4.3218507802320468E-3</v>
      </c>
      <c r="T66" s="23">
        <f t="shared" si="42"/>
        <v>1.7359375522520962E-3</v>
      </c>
      <c r="U66" s="23">
        <f t="shared" si="43"/>
        <v>7.600496402729004E-4</v>
      </c>
      <c r="V66" s="23">
        <f t="shared" si="44"/>
        <v>4.8908291665620478E-4</v>
      </c>
      <c r="W66" s="23">
        <f t="shared" si="45"/>
        <v>6.7172460563384923E-4</v>
      </c>
      <c r="X66" s="23">
        <f t="shared" si="46"/>
        <v>1.4773689015013898E-3</v>
      </c>
      <c r="Y66" s="23">
        <f t="shared" si="47"/>
        <v>3.6532245447780669E-3</v>
      </c>
      <c r="Z66" s="23">
        <f t="shared" si="48"/>
        <v>9.2173264959345223E-3</v>
      </c>
      <c r="AA66" s="23">
        <f t="shared" si="49"/>
        <v>2.3330197373165804E-2</v>
      </c>
      <c r="AB66" s="23">
        <f t="shared" si="50"/>
        <v>5.9081063435972983E-2</v>
      </c>
      <c r="AC66" s="23">
        <f t="shared" si="51"/>
        <v>0.14962768393404643</v>
      </c>
      <c r="AD66" s="23">
        <f t="shared" si="52"/>
        <v>0.37894908858022486</v>
      </c>
      <c r="AE66" s="23">
        <f t="shared" si="53"/>
        <v>0.95973338156478072</v>
      </c>
      <c r="AF66" s="23">
        <f t="shared" si="54"/>
        <v>2.4306390034679204</v>
      </c>
      <c r="AG66" s="23">
        <f t="shared" si="55"/>
        <v>6.1558828212152665</v>
      </c>
      <c r="AH66" s="23">
        <f t="shared" si="56"/>
        <v>15.590506663395324</v>
      </c>
      <c r="AI66" s="23">
        <f t="shared" si="41"/>
        <v>39.484815639283291</v>
      </c>
      <c r="AJ66" s="16">
        <f t="shared" si="37"/>
        <v>100</v>
      </c>
      <c r="AN66" s="39"/>
      <c r="AO66" s="18">
        <f t="shared" si="4"/>
        <v>-1076400000</v>
      </c>
      <c r="AP66" s="18">
        <f t="shared" si="5"/>
        <v>0</v>
      </c>
      <c r="AQ66" s="18">
        <f t="shared" si="6"/>
        <v>0</v>
      </c>
      <c r="AR66" s="18">
        <f t="shared" si="7"/>
        <v>0</v>
      </c>
      <c r="AS66" s="18">
        <f t="shared" si="8"/>
        <v>0</v>
      </c>
      <c r="AT66" s="18">
        <f t="shared" si="9"/>
        <v>0</v>
      </c>
      <c r="AU66" s="18">
        <f t="shared" si="10"/>
        <v>0</v>
      </c>
      <c r="AV66" s="18">
        <f t="shared" si="11"/>
        <v>0</v>
      </c>
      <c r="AW66" s="18">
        <f t="shared" si="12"/>
        <v>0</v>
      </c>
      <c r="AX66" s="18">
        <f t="shared" si="13"/>
        <v>0</v>
      </c>
      <c r="AY66" s="18">
        <f t="shared" si="14"/>
        <v>0</v>
      </c>
      <c r="AZ66" s="18">
        <f t="shared" si="15"/>
        <v>0</v>
      </c>
      <c r="BA66" s="18">
        <f t="shared" si="16"/>
        <v>0</v>
      </c>
      <c r="BB66" s="18">
        <f t="shared" si="17"/>
        <v>0</v>
      </c>
      <c r="BC66" s="18">
        <f t="shared" si="18"/>
        <v>0</v>
      </c>
      <c r="BD66" s="18">
        <f t="shared" si="19"/>
        <v>0</v>
      </c>
      <c r="BE66" s="18">
        <f t="shared" si="20"/>
        <v>0</v>
      </c>
      <c r="BF66" s="18">
        <f t="shared" si="21"/>
        <v>0</v>
      </c>
      <c r="BG66" s="18">
        <f t="shared" si="22"/>
        <v>0</v>
      </c>
      <c r="BH66" s="18">
        <f t="shared" si="23"/>
        <v>0</v>
      </c>
      <c r="BI66" s="18">
        <f t="shared" si="24"/>
        <v>0</v>
      </c>
      <c r="BJ66" s="18">
        <f t="shared" si="25"/>
        <v>0</v>
      </c>
      <c r="BK66" s="18">
        <f t="shared" si="26"/>
        <v>0</v>
      </c>
      <c r="BL66" s="18">
        <f t="shared" si="27"/>
        <v>0</v>
      </c>
      <c r="BM66" s="18">
        <f t="shared" si="28"/>
        <v>0</v>
      </c>
      <c r="BN66" s="18">
        <f t="shared" si="29"/>
        <v>0</v>
      </c>
      <c r="BO66" s="18">
        <f t="shared" si="30"/>
        <v>0</v>
      </c>
      <c r="BP66" s="18">
        <f t="shared" si="31"/>
        <v>0</v>
      </c>
      <c r="BQ66" s="18">
        <f t="shared" si="32"/>
        <v>0</v>
      </c>
      <c r="BR66" s="18">
        <f t="shared" si="33"/>
        <v>-358800000</v>
      </c>
      <c r="BU66" s="37"/>
      <c r="BV66" s="24">
        <v>0</v>
      </c>
      <c r="BW66" s="24">
        <f t="shared" si="38"/>
        <v>0.3415922014622258</v>
      </c>
      <c r="BX66" s="24">
        <f t="shared" si="99"/>
        <v>0.3867162803971414</v>
      </c>
      <c r="BY66" s="24">
        <f t="shared" si="99"/>
        <v>0.39358441341045353</v>
      </c>
      <c r="BZ66" s="24">
        <f t="shared" si="99"/>
        <v>0.39465123071155611</v>
      </c>
      <c r="CA66" s="24">
        <f t="shared" si="99"/>
        <v>0.39481745705771337</v>
      </c>
      <c r="CB66" s="24">
        <f t="shared" si="99"/>
        <v>0.39484337025824801</v>
      </c>
      <c r="CC66" s="24">
        <f t="shared" si="99"/>
        <v>0.39484741020089792</v>
      </c>
      <c r="CD66" s="24">
        <f t="shared" si="99"/>
        <v>0.39484804004704999</v>
      </c>
      <c r="CE66" s="24">
        <f t="shared" si="99"/>
        <v>0.39484813824322279</v>
      </c>
      <c r="CF66" s="24">
        <f t="shared" si="99"/>
        <v>0.39484815355250286</v>
      </c>
      <c r="CG66" s="24">
        <f t="shared" si="99"/>
        <v>0.39484815593929717</v>
      </c>
      <c r="CH66" s="24">
        <f t="shared" si="99"/>
        <v>0.39484815631141046</v>
      </c>
      <c r="CI66" s="24">
        <f t="shared" si="99"/>
        <v>0.39484815636942483</v>
      </c>
      <c r="CJ66" s="24">
        <f t="shared" si="99"/>
        <v>0.39484815637846954</v>
      </c>
      <c r="CK66" s="24">
        <f t="shared" si="99"/>
        <v>0.39484815637987963</v>
      </c>
      <c r="CL66" s="24">
        <f t="shared" si="99"/>
        <v>0.39484815638009951</v>
      </c>
      <c r="CM66" s="24">
        <f t="shared" si="99"/>
        <v>0.39484815638013382</v>
      </c>
      <c r="CN66" s="24">
        <f t="shared" si="99"/>
        <v>0.39484815638013915</v>
      </c>
      <c r="CO66" s="24">
        <f t="shared" si="99"/>
        <v>0.39484815638013998</v>
      </c>
      <c r="CP66" s="24">
        <f t="shared" si="99"/>
        <v>0.39484815638014015</v>
      </c>
      <c r="CQ66" s="24">
        <f t="shared" si="99"/>
        <v>0.39484815638014015</v>
      </c>
      <c r="CR66" s="24">
        <f t="shared" si="99"/>
        <v>0.39484815638014015</v>
      </c>
      <c r="CS66" s="24">
        <f t="shared" si="99"/>
        <v>0.39484815638014015</v>
      </c>
      <c r="CT66" s="24">
        <f t="shared" si="99"/>
        <v>0.39484815638014015</v>
      </c>
      <c r="CU66" s="24">
        <f t="shared" si="99"/>
        <v>0.39484815638014015</v>
      </c>
      <c r="CV66" s="24">
        <f t="shared" si="99"/>
        <v>0.39484815638014015</v>
      </c>
      <c r="CW66" s="24">
        <f t="shared" si="99"/>
        <v>0.39484815638014015</v>
      </c>
      <c r="CX66" s="24">
        <f t="shared" si="99"/>
        <v>0.39484815638014015</v>
      </c>
      <c r="CY66" s="24">
        <f t="shared" si="99"/>
        <v>0.39484815638014015</v>
      </c>
      <c r="DB66" s="37"/>
      <c r="DC66" s="16">
        <f t="shared" si="39"/>
        <v>300</v>
      </c>
      <c r="DD66" s="24">
        <f t="shared" si="40"/>
        <v>102.47766043866774</v>
      </c>
      <c r="DE66" s="24">
        <f t="shared" si="95"/>
        <v>39.629779668642875</v>
      </c>
      <c r="DF66" s="24">
        <f t="shared" si="96"/>
        <v>15.597663584468325</v>
      </c>
      <c r="DG66" s="24">
        <f t="shared" si="97"/>
        <v>6.1556371298352461</v>
      </c>
      <c r="DH66" s="24">
        <f t="shared" si="58"/>
        <v>2.4303529981715934</v>
      </c>
      <c r="DI66" s="24">
        <f t="shared" si="59"/>
        <v>0.95960876871530965</v>
      </c>
      <c r="DJ66" s="24">
        <f t="shared" si="60"/>
        <v>0.37889903713331241</v>
      </c>
      <c r="DK66" s="24">
        <f t="shared" si="61"/>
        <v>0.14960754218780284</v>
      </c>
      <c r="DL66" s="24">
        <f t="shared" si="62"/>
        <v>5.9072259499998357E-2</v>
      </c>
      <c r="DM66" s="24">
        <f t="shared" si="63"/>
        <v>2.3324572589748647E-2</v>
      </c>
      <c r="DN66" s="24">
        <f t="shared" si="64"/>
        <v>9.2096644751345318E-3</v>
      </c>
      <c r="DO66" s="24">
        <f t="shared" si="65"/>
        <v>3.6364190382535641E-3</v>
      </c>
      <c r="DP66" s="24">
        <f t="shared" si="66"/>
        <v>1.4358333530410969E-3</v>
      </c>
      <c r="DQ66" s="24">
        <f t="shared" si="67"/>
        <v>5.6693615231499328E-4</v>
      </c>
      <c r="DR66" s="24">
        <f t="shared" si="68"/>
        <v>2.2385369452667772E-4</v>
      </c>
      <c r="DS66" s="24">
        <f t="shared" si="69"/>
        <v>8.8388218582732665E-5</v>
      </c>
      <c r="DT66" s="24">
        <f t="shared" si="70"/>
        <v>3.4899925153116278E-5</v>
      </c>
      <c r="DU66" s="24">
        <f t="shared" si="71"/>
        <v>1.3780171104512806E-5</v>
      </c>
      <c r="DV66" s="24">
        <f t="shared" si="72"/>
        <v>5.4410751552197585E-6</v>
      </c>
      <c r="DW66" s="24">
        <f t="shared" si="73"/>
        <v>2.1483984937643062E-6</v>
      </c>
      <c r="DX66" s="24">
        <f t="shared" si="74"/>
        <v>8.4829118443270635E-7</v>
      </c>
      <c r="DY66" s="24">
        <f t="shared" si="75"/>
        <v>3.3494621024677948E-7</v>
      </c>
      <c r="DZ66" s="24">
        <f t="shared" si="76"/>
        <v>1.3225289360245567E-7</v>
      </c>
      <c r="EA66" s="24">
        <f t="shared" si="77"/>
        <v>5.2219811214868452E-8</v>
      </c>
      <c r="EB66" s="24">
        <f t="shared" si="78"/>
        <v>2.0618896184709772E-8</v>
      </c>
      <c r="EC66" s="24">
        <f t="shared" si="79"/>
        <v>8.1413331451261602E-9</v>
      </c>
      <c r="ED66" s="24">
        <f t="shared" si="80"/>
        <v>3.2145903828295923E-9</v>
      </c>
      <c r="EE66" s="24">
        <f t="shared" si="81"/>
        <v>1.2692750861775935E-9</v>
      </c>
      <c r="EF66" s="24">
        <f t="shared" si="82"/>
        <v>36.620875384152697</v>
      </c>
    </row>
    <row r="68" spans="6:136" ht="15" customHeight="1" x14ac:dyDescent="0.25"/>
    <row r="69" spans="6:136" ht="15" customHeight="1" x14ac:dyDescent="0.25">
      <c r="F69" s="38" t="s">
        <v>24</v>
      </c>
      <c r="G69" s="16">
        <f>$C$14</f>
        <v>300</v>
      </c>
      <c r="H69" s="23">
        <f t="shared" ref="H69:AH69" si="100">DD69/(1-BW69)</f>
        <v>118.45444691446512</v>
      </c>
      <c r="I69" s="23">
        <f t="shared" si="100"/>
        <v>46.771519980277262</v>
      </c>
      <c r="J69" s="23">
        <f t="shared" si="100"/>
        <v>18.467648438023144</v>
      </c>
      <c r="K69" s="23">
        <f t="shared" si="100"/>
        <v>7.2919169453029768</v>
      </c>
      <c r="L69" s="23">
        <f t="shared" si="100"/>
        <v>2.8791999797365868</v>
      </c>
      <c r="M69" s="23">
        <f t="shared" si="100"/>
        <v>1.1368468479330263</v>
      </c>
      <c r="N69" s="23">
        <f t="shared" si="100"/>
        <v>0.44888199364166564</v>
      </c>
      <c r="O69" s="23">
        <f t="shared" si="100"/>
        <v>0.17724051038538166</v>
      </c>
      <c r="P69" s="23">
        <f t="shared" si="100"/>
        <v>6.998380489437428E-2</v>
      </c>
      <c r="Q69" s="23">
        <f t="shared" si="100"/>
        <v>2.7634790030729505E-2</v>
      </c>
      <c r="R69" s="23">
        <f t="shared" si="100"/>
        <v>1.0916139285953971E-2</v>
      </c>
      <c r="S69" s="23">
        <f t="shared" si="100"/>
        <v>4.321850780232046E-3</v>
      </c>
      <c r="T69" s="23">
        <f t="shared" si="100"/>
        <v>1.7359375522520962E-3</v>
      </c>
      <c r="U69" s="23">
        <f t="shared" si="100"/>
        <v>7.600496402729004E-4</v>
      </c>
      <c r="V69" s="23">
        <f t="shared" si="100"/>
        <v>4.8908291665620478E-4</v>
      </c>
      <c r="W69" s="23">
        <f t="shared" si="100"/>
        <v>6.7172460563384934E-4</v>
      </c>
      <c r="X69" s="23">
        <f t="shared" si="100"/>
        <v>1.4773689015013896E-3</v>
      </c>
      <c r="Y69" s="23">
        <f t="shared" si="100"/>
        <v>3.6532245447780673E-3</v>
      </c>
      <c r="Z69" s="23">
        <f t="shared" si="100"/>
        <v>9.2173264959345223E-3</v>
      </c>
      <c r="AA69" s="23">
        <f t="shared" si="100"/>
        <v>2.3330197373165801E-2</v>
      </c>
      <c r="AB69" s="23">
        <f t="shared" si="100"/>
        <v>5.9081063435972983E-2</v>
      </c>
      <c r="AC69" s="23">
        <f t="shared" si="100"/>
        <v>0.14962768393404641</v>
      </c>
      <c r="AD69" s="23">
        <f t="shared" si="100"/>
        <v>0.37894908858022486</v>
      </c>
      <c r="AE69" s="23">
        <f t="shared" si="100"/>
        <v>0.95973338156478072</v>
      </c>
      <c r="AF69" s="23">
        <f t="shared" si="100"/>
        <v>2.4306390034679204</v>
      </c>
      <c r="AG69" s="23">
        <f t="shared" si="100"/>
        <v>6.1558828212152674</v>
      </c>
      <c r="AH69" s="23">
        <f t="shared" si="100"/>
        <v>15.590506663395324</v>
      </c>
      <c r="AI69" s="23">
        <f>EE69/(1-CX69)</f>
        <v>39.484815639283283</v>
      </c>
      <c r="AJ69" s="16">
        <f>$C$15</f>
        <v>100</v>
      </c>
      <c r="AN69" s="35" t="s">
        <v>25</v>
      </c>
      <c r="AO69" s="24">
        <f>-($C$11*$C$10/$C$8)*G37</f>
        <v>-1076400000</v>
      </c>
      <c r="AP69" s="24">
        <f t="shared" ref="AP69:BR69" si="101">-($C$11*$C$10/$C$8)*H37</f>
        <v>-425014555.52910089</v>
      </c>
      <c r="AQ69" s="24">
        <f t="shared" si="101"/>
        <v>-167816213.68923482</v>
      </c>
      <c r="AR69" s="24">
        <f t="shared" si="101"/>
        <v>-66261922.59562704</v>
      </c>
      <c r="AS69" s="24">
        <f t="shared" si="101"/>
        <v>-26163397.999747083</v>
      </c>
      <c r="AT69" s="24">
        <f t="shared" si="101"/>
        <v>-10330569.527294876</v>
      </c>
      <c r="AU69" s="24">
        <f t="shared" si="101"/>
        <v>-4079006.4903836981</v>
      </c>
      <c r="AV69" s="24">
        <f t="shared" si="101"/>
        <v>-1610588.5931862965</v>
      </c>
      <c r="AW69" s="24">
        <f t="shared" si="101"/>
        <v>-635938.95126274938</v>
      </c>
      <c r="AX69" s="24">
        <f t="shared" si="101"/>
        <v>-251101.89196101492</v>
      </c>
      <c r="AY69" s="24">
        <f t="shared" si="101"/>
        <v>-99153.62663025748</v>
      </c>
      <c r="AZ69" s="24">
        <f t="shared" si="101"/>
        <v>-39167.107758002843</v>
      </c>
      <c r="BA69" s="24">
        <f t="shared" si="101"/>
        <v>-15506.800599472585</v>
      </c>
      <c r="BB69" s="24">
        <f t="shared" si="101"/>
        <v>-6228.543937480521</v>
      </c>
      <c r="BC69" s="24">
        <f t="shared" si="101"/>
        <v>-2727.0581092991665</v>
      </c>
      <c r="BD69" s="24">
        <f t="shared" si="101"/>
        <v>-1754.8295049624628</v>
      </c>
      <c r="BE69" s="24">
        <f t="shared" si="101"/>
        <v>-2410.1478850142512</v>
      </c>
      <c r="BF69" s="24">
        <f t="shared" si="101"/>
        <v>-5300.7996185869861</v>
      </c>
      <c r="BG69" s="24">
        <f t="shared" si="101"/>
        <v>-13107.769666663704</v>
      </c>
      <c r="BH69" s="24">
        <f t="shared" si="101"/>
        <v>-33071.767467413069</v>
      </c>
      <c r="BI69" s="24">
        <f t="shared" si="101"/>
        <v>-83708.748174918903</v>
      </c>
      <c r="BJ69" s="24">
        <f t="shared" si="101"/>
        <v>-211982.85560827106</v>
      </c>
      <c r="BK69" s="24">
        <f t="shared" si="101"/>
        <v>-536864.12995535857</v>
      </c>
      <c r="BL69" s="24">
        <f t="shared" si="101"/>
        <v>-1359669.3298258467</v>
      </c>
      <c r="BM69" s="24">
        <f t="shared" si="101"/>
        <v>-3443523.3730544331</v>
      </c>
      <c r="BN69" s="24">
        <f t="shared" si="101"/>
        <v>-8721132.7444428988</v>
      </c>
      <c r="BO69" s="24">
        <f t="shared" si="101"/>
        <v>-22087307.562520377</v>
      </c>
      <c r="BP69" s="24">
        <f t="shared" si="101"/>
        <v>-55938737.908262424</v>
      </c>
      <c r="BQ69" s="24">
        <f t="shared" si="101"/>
        <v>-141671518.51374844</v>
      </c>
      <c r="BR69" s="24">
        <f t="shared" si="101"/>
        <v>-358800000</v>
      </c>
      <c r="BU69" s="36" t="s">
        <v>28</v>
      </c>
      <c r="BV69" s="24">
        <f t="shared" ref="BV69:BV96" si="102">$C$22/($C$23-$C$24*BV70)</f>
        <v>0.39484815638014015</v>
      </c>
      <c r="BW69" s="24">
        <f t="shared" ref="BW69:BW96" si="103">$C$22/($C$23-$C$24*BW70)</f>
        <v>0.39484815638014015</v>
      </c>
      <c r="BX69" s="24">
        <f t="shared" ref="BX69:BX96" si="104">$C$22/($C$23-$C$24*BX70)</f>
        <v>0.39484815638014015</v>
      </c>
      <c r="BY69" s="24">
        <f t="shared" ref="BY69:BY96" si="105">$C$22/($C$23-$C$24*BY70)</f>
        <v>0.39484815638014015</v>
      </c>
      <c r="BZ69" s="24">
        <f t="shared" ref="BZ69:BZ96" si="106">$C$22/($C$23-$C$24*BZ70)</f>
        <v>0.39484815638014015</v>
      </c>
      <c r="CA69" s="24">
        <f t="shared" ref="CA69:CA96" si="107">$C$22/($C$23-$C$24*CA70)</f>
        <v>0.39484815638014015</v>
      </c>
      <c r="CB69" s="24">
        <f t="shared" ref="CB69:CB96" si="108">$C$22/($C$23-$C$24*CB70)</f>
        <v>0.39484815638014015</v>
      </c>
      <c r="CC69" s="24">
        <f t="shared" ref="CC69:CC96" si="109">$C$22/($C$23-$C$24*CC70)</f>
        <v>0.39484815638014015</v>
      </c>
      <c r="CD69" s="24">
        <f t="shared" ref="CD69:CD96" si="110">$C$22/($C$23-$C$24*CD70)</f>
        <v>0.39484815638014015</v>
      </c>
      <c r="CE69" s="24">
        <f t="shared" ref="CE69:CE96" si="111">$C$22/($C$23-$C$24*CE70)</f>
        <v>0.39484815638014015</v>
      </c>
      <c r="CF69" s="24">
        <f t="shared" ref="CF69:CF96" si="112">$C$22/($C$23-$C$24*CF70)</f>
        <v>0.39484815638014015</v>
      </c>
      <c r="CG69" s="24">
        <f t="shared" ref="CG69:CG96" si="113">$C$22/($C$23-$C$24*CG70)</f>
        <v>0.39484815638014015</v>
      </c>
      <c r="CH69" s="24">
        <f t="shared" ref="CH69:CH96" si="114">$C$22/($C$23-$C$24*CH70)</f>
        <v>0.39484815638014015</v>
      </c>
      <c r="CI69" s="24">
        <f t="shared" ref="CI69:CI96" si="115">$C$22/($C$23-$C$24*CI70)</f>
        <v>0.39484815638014015</v>
      </c>
      <c r="CJ69" s="24">
        <f t="shared" ref="CJ69:CJ96" si="116">$C$22/($C$23-$C$24*CJ70)</f>
        <v>0.39484815638014015</v>
      </c>
      <c r="CK69" s="24">
        <f t="shared" ref="CK69:CK96" si="117">$C$22/($C$23-$C$24*CK70)</f>
        <v>0.39484815638014015</v>
      </c>
      <c r="CL69" s="24">
        <f t="shared" ref="CL69:CL96" si="118">$C$22/($C$23-$C$24*CL70)</f>
        <v>0.39484815638014015</v>
      </c>
      <c r="CM69" s="24">
        <f t="shared" ref="CM69:CM96" si="119">$C$22/($C$23-$C$24*CM70)</f>
        <v>0.39484815638014015</v>
      </c>
      <c r="CN69" s="24">
        <f t="shared" ref="CN69:CN96" si="120">$C$22/($C$23-$C$24*CN70)</f>
        <v>0.39484815638014015</v>
      </c>
      <c r="CO69" s="24">
        <f t="shared" ref="CO69:CO96" si="121">$C$22/($C$23-$C$24*CO70)</f>
        <v>0.39484815638014015</v>
      </c>
      <c r="CP69" s="24">
        <f t="shared" ref="CP69:CP96" si="122">$C$22/($C$23-$C$24*CP70)</f>
        <v>0.39484815638014015</v>
      </c>
      <c r="CQ69" s="24">
        <f t="shared" ref="CQ69:CQ96" si="123">$C$22/($C$23-$C$24*CQ70)</f>
        <v>0.39484815638014015</v>
      </c>
      <c r="CR69" s="24">
        <f t="shared" ref="CR69:CR96" si="124">$C$22/($C$23-$C$24*CR70)</f>
        <v>0.39484815638014015</v>
      </c>
      <c r="CS69" s="24">
        <f t="shared" ref="CS69:CS96" si="125">$C$22/($C$23-$C$24*CS70)</f>
        <v>0.39484815638014015</v>
      </c>
      <c r="CT69" s="24">
        <f t="shared" ref="CT69:CT96" si="126">$C$22/($C$23-$C$24*CT70)</f>
        <v>0.39484815638014015</v>
      </c>
      <c r="CU69" s="24">
        <f t="shared" ref="CU69:CU96" si="127">$C$22/($C$23-$C$24*CU70)</f>
        <v>0.39484815638014015</v>
      </c>
      <c r="CV69" s="24">
        <f t="shared" ref="CV69:CV96" si="128">$C$22/($C$23-$C$24*CV70)</f>
        <v>0.39484815638014015</v>
      </c>
      <c r="CW69" s="24">
        <f t="shared" ref="CW69:CW96" si="129">$C$22/($C$23-$C$24*CW70)</f>
        <v>0.39484815638014015</v>
      </c>
      <c r="CX69" s="24">
        <f t="shared" ref="CX69:CX96" si="130">$C$22/($C$23-$C$24*CX70)</f>
        <v>0.39484815638014015</v>
      </c>
      <c r="CY69" s="24">
        <f t="shared" ref="CY69:CY96" si="131">$C$22/($C$23-$C$24*CY70)</f>
        <v>0.39484815638014015</v>
      </c>
      <c r="DB69" s="36" t="s">
        <v>27</v>
      </c>
      <c r="DC69" s="24">
        <f t="shared" ref="DC69:DC96" si="132">(DC70*$C$24-AO69)/($C$23-$C$24*BV70)</f>
        <v>181.54555308595795</v>
      </c>
      <c r="DD69" s="24">
        <f t="shared" ref="DD69:DD96" si="133">(DD70*$C$24-AP69)/($C$23-$C$24*BW70)</f>
        <v>71.682926935259388</v>
      </c>
      <c r="DE69" s="24">
        <f t="shared" ref="DE69:DE96" si="134">(DE70*$C$24-AQ69)/($C$23-$C$24*BX70)</f>
        <v>28.303871544967894</v>
      </c>
      <c r="DF69" s="24">
        <f t="shared" ref="DF69:DF96" si="135">(DF70*$C$24-AR69)/($C$23-$C$24*BY70)</f>
        <v>11.17573149959313</v>
      </c>
      <c r="DG69" s="24">
        <f t="shared" ref="DG69:DG96" si="136">(DG70*$C$24-AS69)/($C$23-$C$24*BZ70)</f>
        <v>4.4127169829729933</v>
      </c>
      <c r="DH69" s="24">
        <f t="shared" ref="DH69:DH96" si="137">(DH70*$C$24-AT69)/($C$23-$C$24*CA70)</f>
        <v>1.7423531758878588</v>
      </c>
      <c r="DI69" s="24">
        <f t="shared" ref="DI69:DI96" si="138">(DI70*$C$24-AU69)/($C$23-$C$24*CB70)</f>
        <v>0.68796496594009726</v>
      </c>
      <c r="DJ69" s="24">
        <f t="shared" ref="DJ69:DJ96" si="139">(DJ70*$C$24-AV69)/($C$23-$C$24*CC70)</f>
        <v>0.27164176602001217</v>
      </c>
      <c r="DK69" s="24">
        <f t="shared" ref="DK69:DK96" si="140">(DK70*$C$24-AW69)/($C$23-$C$24*CD70)</f>
        <v>0.10725742162383863</v>
      </c>
      <c r="DL69" s="24">
        <f t="shared" ref="DL69:DL96" si="141">(DL70*$C$24-AX69)/($C$23-$C$24*CE70)</f>
        <v>4.2350828555363165E-2</v>
      </c>
      <c r="DM69" s="24">
        <f t="shared" ref="DM69:DM96" si="142">(DM70*$C$24-AY69)/($C$23-$C$24*CF70)</f>
        <v>1.6723244135143683E-2</v>
      </c>
      <c r="DN69" s="24">
        <f t="shared" ref="DN69:DN96" si="143">(DN70*$C$24-AZ69)/($C$23-$C$24*CG70)</f>
        <v>6.6059218141062259E-3</v>
      </c>
      <c r="DO69" s="24">
        <f t="shared" ref="DO69:DO96" si="144">(DO70*$C$24-BA69)/($C$23-$C$24*CH70)</f>
        <v>2.6153759675073525E-3</v>
      </c>
      <c r="DP69" s="24">
        <f t="shared" ref="DP69:DP96" si="145">(DP70*$C$24-BB69)/($C$23-$C$24*CI70)</f>
        <v>1.0505058101543028E-3</v>
      </c>
      <c r="DQ69" s="24">
        <f t="shared" ref="DQ69:DQ96" si="146">(DQ70*$C$24-BC69)/($C$23-$C$24*CJ70)</f>
        <v>4.5994544105375695E-4</v>
      </c>
      <c r="DR69" s="24">
        <f t="shared" ref="DR69:DR96" si="147">(DR70*$C$24-BD69)/($C$23-$C$24*CK70)</f>
        <v>2.959694286974806E-4</v>
      </c>
      <c r="DS69" s="24">
        <f t="shared" ref="DS69:DS96" si="148">(DS70*$C$24-BE69)/($C$23-$C$24*CL70)</f>
        <v>4.0649538350414721E-4</v>
      </c>
      <c r="DT69" s="24">
        <f t="shared" ref="DT69:DT96" si="149">(DT70*$C$24-BF69)/($C$23-$C$24*CM70)</f>
        <v>8.9403251445021301E-4</v>
      </c>
      <c r="DU69" s="24">
        <f t="shared" ref="DU69:DU96" si="150">(DU70*$C$24-BG69)/($C$23-$C$24*CN70)</f>
        <v>2.2107555684297707E-3</v>
      </c>
      <c r="DV69" s="24">
        <f t="shared" ref="DV69:DV96" si="151">(DV70*$C$24-BH69)/($C$23-$C$24*CO70)</f>
        <v>5.5778821222609585E-3</v>
      </c>
      <c r="DW69" s="24">
        <f t="shared" ref="DW69:DW96" si="152">(DW70*$C$24-BI69)/($C$23-$C$24*CP70)</f>
        <v>1.4118311952386496E-2</v>
      </c>
      <c r="DX69" s="24">
        <f t="shared" ref="DX69:DX96" si="153">(DX70*$C$24-BJ69)/($C$23-$C$24*CQ70)</f>
        <v>3.5753014461300942E-2</v>
      </c>
      <c r="DY69" s="24">
        <f t="shared" ref="DY69:DY96" si="154">(DY70*$C$24-BK69)/($C$23-$C$24*CR70)</f>
        <v>9.0547468789257873E-2</v>
      </c>
      <c r="DZ69" s="24">
        <f t="shared" ref="DZ69:DZ96" si="155">(DZ70*$C$24-BL69)/($C$23-$C$24*CS70)</f>
        <v>0.22932173959238866</v>
      </c>
      <c r="EA69" s="24">
        <f t="shared" ref="EA69:EA96" si="156">(EA70*$C$24-BM69)/($C$23-$C$24*CT70)</f>
        <v>0.58078442523744944</v>
      </c>
      <c r="EB69" s="24">
        <f t="shared" ref="EB69:EB96" si="157">(EB70*$C$24-BN69)/($C$23-$C$24*CU70)</f>
        <v>1.4709056741229509</v>
      </c>
      <c r="EC69" s="24">
        <f t="shared" ref="EC69:EC96" si="158">(EC70*$C$24-BO69)/($C$23-$C$24*CV70)</f>
        <v>3.725243838366243</v>
      </c>
      <c r="ED69" s="24">
        <f t="shared" ref="ED69:ED96" si="159">(ED70*$C$24-BP69)/($C$23-$C$24*CW70)</f>
        <v>9.4346238503213904</v>
      </c>
      <c r="EE69" s="24">
        <f t="shared" ref="EE69:EE96" si="160">(EE70*$C$24-BQ69)/($C$23-$C$24*CX70)</f>
        <v>23.894308979102554</v>
      </c>
      <c r="EF69" s="24">
        <f t="shared" ref="EF69:EF96" si="161">(EF70*$C$24-BR69)/($C$23-$C$24*CY70)</f>
        <v>60.51518436198598</v>
      </c>
    </row>
    <row r="70" spans="6:136" ht="15" customHeight="1" x14ac:dyDescent="0.25">
      <c r="F70" s="38"/>
      <c r="G70" s="16">
        <f t="shared" ref="G70:G98" si="162">$C$14</f>
        <v>300</v>
      </c>
      <c r="H70" s="17">
        <f t="shared" ref="H70:AH70" si="163">BW70*H69+DD70</f>
        <v>118.45444691446512</v>
      </c>
      <c r="I70" s="17">
        <f t="shared" si="163"/>
        <v>46.771519980277262</v>
      </c>
      <c r="J70" s="17">
        <f t="shared" si="163"/>
        <v>18.467648438023144</v>
      </c>
      <c r="K70" s="17">
        <f t="shared" si="163"/>
        <v>7.2919169453029768</v>
      </c>
      <c r="L70" s="17">
        <f t="shared" si="163"/>
        <v>2.8791999797365868</v>
      </c>
      <c r="M70" s="17">
        <f t="shared" si="163"/>
        <v>1.1368468479330263</v>
      </c>
      <c r="N70" s="17">
        <f t="shared" si="163"/>
        <v>0.44888199364166564</v>
      </c>
      <c r="O70" s="17">
        <f t="shared" si="163"/>
        <v>0.17724051038538166</v>
      </c>
      <c r="P70" s="17">
        <f t="shared" si="163"/>
        <v>6.998380489437428E-2</v>
      </c>
      <c r="Q70" s="17">
        <f t="shared" si="163"/>
        <v>2.7634790030729505E-2</v>
      </c>
      <c r="R70" s="17">
        <f t="shared" si="163"/>
        <v>1.0916139285953971E-2</v>
      </c>
      <c r="S70" s="17">
        <f t="shared" si="163"/>
        <v>4.321850780232046E-3</v>
      </c>
      <c r="T70" s="17">
        <f t="shared" si="163"/>
        <v>1.7359375522520962E-3</v>
      </c>
      <c r="U70" s="17">
        <f t="shared" si="163"/>
        <v>7.600496402729004E-4</v>
      </c>
      <c r="V70" s="17">
        <f t="shared" si="163"/>
        <v>4.8908291665620478E-4</v>
      </c>
      <c r="W70" s="17">
        <f t="shared" si="163"/>
        <v>6.7172460563384934E-4</v>
      </c>
      <c r="X70" s="17">
        <f t="shared" si="163"/>
        <v>1.4773689015013896E-3</v>
      </c>
      <c r="Y70" s="17">
        <f t="shared" si="163"/>
        <v>3.6532245447780673E-3</v>
      </c>
      <c r="Z70" s="17">
        <f t="shared" si="163"/>
        <v>9.2173264959345223E-3</v>
      </c>
      <c r="AA70" s="17">
        <f t="shared" si="163"/>
        <v>2.3330197373165801E-2</v>
      </c>
      <c r="AB70" s="17">
        <f t="shared" si="163"/>
        <v>5.9081063435972983E-2</v>
      </c>
      <c r="AC70" s="17">
        <f t="shared" si="163"/>
        <v>0.14962768393404641</v>
      </c>
      <c r="AD70" s="17">
        <f t="shared" si="163"/>
        <v>0.37894908858022486</v>
      </c>
      <c r="AE70" s="17">
        <f t="shared" si="163"/>
        <v>0.95973338156478072</v>
      </c>
      <c r="AF70" s="17">
        <f t="shared" si="163"/>
        <v>2.4306390034679204</v>
      </c>
      <c r="AG70" s="17">
        <f t="shared" si="163"/>
        <v>6.1558828212152665</v>
      </c>
      <c r="AH70" s="17">
        <f t="shared" si="163"/>
        <v>15.590506663395324</v>
      </c>
      <c r="AI70" s="17">
        <f>CX70*AI69+EE70</f>
        <v>39.484815639283283</v>
      </c>
      <c r="AJ70" s="16">
        <f t="shared" ref="AJ70:AJ98" si="164">$C$15</f>
        <v>100</v>
      </c>
      <c r="AN70" s="35"/>
      <c r="AO70" s="24">
        <f t="shared" ref="AO70:AO98" si="165">-($C$11*$C$10/$C$8)*G38</f>
        <v>-1076400000</v>
      </c>
      <c r="AP70" s="20">
        <f t="shared" ref="AP70:AP98" si="166">-($C$11*$C$10/$C$8)*H38</f>
        <v>-425014555.52910089</v>
      </c>
      <c r="AQ70" s="20">
        <f t="shared" ref="AQ70:AQ98" si="167">-($C$11*$C$10/$C$8)*I38</f>
        <v>-167816213.68923482</v>
      </c>
      <c r="AR70" s="20">
        <f t="shared" ref="AR70:AR98" si="168">-($C$11*$C$10/$C$8)*J38</f>
        <v>-66261922.59562704</v>
      </c>
      <c r="AS70" s="20">
        <f t="shared" ref="AS70:AS98" si="169">-($C$11*$C$10/$C$8)*K38</f>
        <v>-26163397.999747083</v>
      </c>
      <c r="AT70" s="20">
        <f t="shared" ref="AT70:AT98" si="170">-($C$11*$C$10/$C$8)*L38</f>
        <v>-10330569.527294876</v>
      </c>
      <c r="AU70" s="20">
        <f t="shared" ref="AU70:AU98" si="171">-($C$11*$C$10/$C$8)*M38</f>
        <v>-4079006.4903836981</v>
      </c>
      <c r="AV70" s="20">
        <f t="shared" ref="AV70:AV98" si="172">-($C$11*$C$10/$C$8)*N38</f>
        <v>-1610588.5931862965</v>
      </c>
      <c r="AW70" s="20">
        <f t="shared" ref="AW70:AW98" si="173">-($C$11*$C$10/$C$8)*O38</f>
        <v>-635938.95126274938</v>
      </c>
      <c r="AX70" s="20">
        <f t="shared" ref="AX70:AX98" si="174">-($C$11*$C$10/$C$8)*P38</f>
        <v>-251101.89196101492</v>
      </c>
      <c r="AY70" s="20">
        <f t="shared" ref="AY70:AY98" si="175">-($C$11*$C$10/$C$8)*Q38</f>
        <v>-99153.62663025748</v>
      </c>
      <c r="AZ70" s="20">
        <f t="shared" ref="AZ70:AZ98" si="176">-($C$11*$C$10/$C$8)*R38</f>
        <v>-39167.107758002843</v>
      </c>
      <c r="BA70" s="20">
        <f t="shared" ref="BA70:BA98" si="177">-($C$11*$C$10/$C$8)*S38</f>
        <v>-15506.800599472585</v>
      </c>
      <c r="BB70" s="20">
        <f t="shared" ref="BB70:BB98" si="178">-($C$11*$C$10/$C$8)*T38</f>
        <v>-6228.543937480521</v>
      </c>
      <c r="BC70" s="20">
        <f t="shared" ref="BC70:BC98" si="179">-($C$11*$C$10/$C$8)*U38</f>
        <v>-2727.0581092991665</v>
      </c>
      <c r="BD70" s="20">
        <f t="shared" ref="BD70:BD98" si="180">-($C$11*$C$10/$C$8)*V38</f>
        <v>-1754.8295049624628</v>
      </c>
      <c r="BE70" s="20">
        <f t="shared" ref="BE70:BE98" si="181">-($C$11*$C$10/$C$8)*W38</f>
        <v>-2410.1478850142512</v>
      </c>
      <c r="BF70" s="20">
        <f t="shared" ref="BF70:BF98" si="182">-($C$11*$C$10/$C$8)*X38</f>
        <v>-5300.7996185869861</v>
      </c>
      <c r="BG70" s="20">
        <f t="shared" ref="BG70:BG98" si="183">-($C$11*$C$10/$C$8)*Y38</f>
        <v>-13107.769666663704</v>
      </c>
      <c r="BH70" s="20">
        <f t="shared" ref="BH70:BH98" si="184">-($C$11*$C$10/$C$8)*Z38</f>
        <v>-33071.767467413069</v>
      </c>
      <c r="BI70" s="20">
        <f t="shared" ref="BI70:BI98" si="185">-($C$11*$C$10/$C$8)*AA38</f>
        <v>-83708.748174918903</v>
      </c>
      <c r="BJ70" s="20">
        <f t="shared" ref="BJ70:BJ98" si="186">-($C$11*$C$10/$C$8)*AB38</f>
        <v>-211982.85560827106</v>
      </c>
      <c r="BK70" s="20">
        <f t="shared" ref="BK70:BK98" si="187">-($C$11*$C$10/$C$8)*AC38</f>
        <v>-536864.12995535857</v>
      </c>
      <c r="BL70" s="20">
        <f t="shared" ref="BL70:BL98" si="188">-($C$11*$C$10/$C$8)*AD38</f>
        <v>-1359669.3298258467</v>
      </c>
      <c r="BM70" s="20">
        <f t="shared" ref="BM70:BM98" si="189">-($C$11*$C$10/$C$8)*AE38</f>
        <v>-3443523.3730544331</v>
      </c>
      <c r="BN70" s="20">
        <f t="shared" ref="BN70:BN98" si="190">-($C$11*$C$10/$C$8)*AF38</f>
        <v>-8721132.7444428988</v>
      </c>
      <c r="BO70" s="20">
        <f t="shared" ref="BO70:BO98" si="191">-($C$11*$C$10/$C$8)*AG38</f>
        <v>-22087307.562520377</v>
      </c>
      <c r="BP70" s="20">
        <f t="shared" ref="BP70:BP98" si="192">-($C$11*$C$10/$C$8)*AH38</f>
        <v>-55938737.908262424</v>
      </c>
      <c r="BQ70" s="20">
        <f t="shared" ref="BQ70:BQ98" si="193">-($C$11*$C$10/$C$8)*AI38</f>
        <v>-141671518.51374844</v>
      </c>
      <c r="BR70" s="24">
        <f t="shared" ref="BR70:BR98" si="194">-($C$11*$C$10/$C$8)*AJ38</f>
        <v>-358800000</v>
      </c>
      <c r="BU70" s="37"/>
      <c r="BV70" s="24">
        <f t="shared" si="102"/>
        <v>0.39484815638014015</v>
      </c>
      <c r="BW70" s="20">
        <f t="shared" si="103"/>
        <v>0.39484815638014015</v>
      </c>
      <c r="BX70" s="20">
        <f t="shared" si="104"/>
        <v>0.39484815638014015</v>
      </c>
      <c r="BY70" s="20">
        <f t="shared" si="105"/>
        <v>0.39484815638014015</v>
      </c>
      <c r="BZ70" s="20">
        <f t="shared" si="106"/>
        <v>0.39484815638014015</v>
      </c>
      <c r="CA70" s="20">
        <f t="shared" si="107"/>
        <v>0.39484815638014015</v>
      </c>
      <c r="CB70" s="20">
        <f t="shared" si="108"/>
        <v>0.39484815638014015</v>
      </c>
      <c r="CC70" s="20">
        <f t="shared" si="109"/>
        <v>0.39484815638014015</v>
      </c>
      <c r="CD70" s="20">
        <f t="shared" si="110"/>
        <v>0.39484815638014015</v>
      </c>
      <c r="CE70" s="20">
        <f t="shared" si="111"/>
        <v>0.39484815638014015</v>
      </c>
      <c r="CF70" s="20">
        <f t="shared" si="112"/>
        <v>0.39484815638014015</v>
      </c>
      <c r="CG70" s="20">
        <f t="shared" si="113"/>
        <v>0.39484815638014015</v>
      </c>
      <c r="CH70" s="20">
        <f t="shared" si="114"/>
        <v>0.39484815638014015</v>
      </c>
      <c r="CI70" s="20">
        <f t="shared" si="115"/>
        <v>0.39484815638014015</v>
      </c>
      <c r="CJ70" s="20">
        <f t="shared" si="116"/>
        <v>0.39484815638014015</v>
      </c>
      <c r="CK70" s="20">
        <f t="shared" si="117"/>
        <v>0.39484815638014015</v>
      </c>
      <c r="CL70" s="20">
        <f t="shared" si="118"/>
        <v>0.39484815638014015</v>
      </c>
      <c r="CM70" s="20">
        <f t="shared" si="119"/>
        <v>0.39484815638014015</v>
      </c>
      <c r="CN70" s="20">
        <f t="shared" si="120"/>
        <v>0.39484815638014015</v>
      </c>
      <c r="CO70" s="20">
        <f t="shared" si="121"/>
        <v>0.39484815638014015</v>
      </c>
      <c r="CP70" s="20">
        <f t="shared" si="122"/>
        <v>0.39484815638014015</v>
      </c>
      <c r="CQ70" s="20">
        <f t="shared" si="123"/>
        <v>0.39484815638014015</v>
      </c>
      <c r="CR70" s="20">
        <f t="shared" si="124"/>
        <v>0.39484815638014015</v>
      </c>
      <c r="CS70" s="20">
        <f t="shared" si="125"/>
        <v>0.39484815638014015</v>
      </c>
      <c r="CT70" s="20">
        <f t="shared" si="126"/>
        <v>0.39484815638014015</v>
      </c>
      <c r="CU70" s="20">
        <f t="shared" si="127"/>
        <v>0.39484815638014015</v>
      </c>
      <c r="CV70" s="20">
        <f t="shared" si="128"/>
        <v>0.39484815638014015</v>
      </c>
      <c r="CW70" s="20">
        <f t="shared" si="129"/>
        <v>0.39484815638014015</v>
      </c>
      <c r="CX70" s="20">
        <f t="shared" si="130"/>
        <v>0.39484815638014015</v>
      </c>
      <c r="CY70" s="24">
        <f t="shared" si="131"/>
        <v>0.39484815638014015</v>
      </c>
      <c r="DB70" s="37"/>
      <c r="DC70" s="24">
        <f t="shared" si="132"/>
        <v>181.54555308595795</v>
      </c>
      <c r="DD70" s="20">
        <f t="shared" si="133"/>
        <v>71.682926935259388</v>
      </c>
      <c r="DE70" s="20">
        <f t="shared" si="134"/>
        <v>28.303871544967894</v>
      </c>
      <c r="DF70" s="20">
        <f t="shared" si="135"/>
        <v>11.17573149959313</v>
      </c>
      <c r="DG70" s="20">
        <f t="shared" si="136"/>
        <v>4.4127169829729933</v>
      </c>
      <c r="DH70" s="20">
        <f t="shared" si="137"/>
        <v>1.7423531758878588</v>
      </c>
      <c r="DI70" s="20">
        <f t="shared" si="138"/>
        <v>0.68796496594009726</v>
      </c>
      <c r="DJ70" s="20">
        <f t="shared" si="139"/>
        <v>0.27164176602001217</v>
      </c>
      <c r="DK70" s="20">
        <f t="shared" si="140"/>
        <v>0.10725742162383863</v>
      </c>
      <c r="DL70" s="20">
        <f t="shared" si="141"/>
        <v>4.2350828555363165E-2</v>
      </c>
      <c r="DM70" s="20">
        <f t="shared" si="142"/>
        <v>1.6723244135143683E-2</v>
      </c>
      <c r="DN70" s="20">
        <f t="shared" si="143"/>
        <v>6.6059218141062259E-3</v>
      </c>
      <c r="DO70" s="20">
        <f t="shared" si="144"/>
        <v>2.6153759675073525E-3</v>
      </c>
      <c r="DP70" s="20">
        <f t="shared" si="145"/>
        <v>1.0505058101543028E-3</v>
      </c>
      <c r="DQ70" s="20">
        <f t="shared" si="146"/>
        <v>4.5994544105375695E-4</v>
      </c>
      <c r="DR70" s="20">
        <f t="shared" si="147"/>
        <v>2.959694286974806E-4</v>
      </c>
      <c r="DS70" s="20">
        <f t="shared" si="148"/>
        <v>4.0649538350414721E-4</v>
      </c>
      <c r="DT70" s="20">
        <f t="shared" si="149"/>
        <v>8.9403251445021301E-4</v>
      </c>
      <c r="DU70" s="20">
        <f t="shared" si="150"/>
        <v>2.2107555684297707E-3</v>
      </c>
      <c r="DV70" s="20">
        <f t="shared" si="151"/>
        <v>5.5778821222609585E-3</v>
      </c>
      <c r="DW70" s="20">
        <f t="shared" si="152"/>
        <v>1.4118311952386496E-2</v>
      </c>
      <c r="DX70" s="20">
        <f t="shared" si="153"/>
        <v>3.5753014461300942E-2</v>
      </c>
      <c r="DY70" s="20">
        <f t="shared" si="154"/>
        <v>9.0547468789257873E-2</v>
      </c>
      <c r="DZ70" s="20">
        <f t="shared" si="155"/>
        <v>0.22932173959238866</v>
      </c>
      <c r="EA70" s="20">
        <f t="shared" si="156"/>
        <v>0.58078442523744944</v>
      </c>
      <c r="EB70" s="20">
        <f t="shared" si="157"/>
        <v>1.4709056741229509</v>
      </c>
      <c r="EC70" s="20">
        <f t="shared" si="158"/>
        <v>3.725243838366243</v>
      </c>
      <c r="ED70" s="20">
        <f t="shared" si="159"/>
        <v>9.4346238503213904</v>
      </c>
      <c r="EE70" s="20">
        <f t="shared" si="160"/>
        <v>23.894308979102554</v>
      </c>
      <c r="EF70" s="24">
        <f t="shared" si="161"/>
        <v>60.51518436198598</v>
      </c>
    </row>
    <row r="71" spans="6:136" ht="15" customHeight="1" x14ac:dyDescent="0.25">
      <c r="F71" s="38"/>
      <c r="G71" s="16">
        <f t="shared" si="162"/>
        <v>300</v>
      </c>
      <c r="H71" s="17">
        <f t="shared" ref="H71:H98" si="195">BW71*H70+DD71</f>
        <v>118.45444691446512</v>
      </c>
      <c r="I71" s="17">
        <f t="shared" ref="I71:I98" si="196">BX71*I70+DE71</f>
        <v>46.771519980277262</v>
      </c>
      <c r="J71" s="17">
        <f t="shared" ref="J71:J98" si="197">BY71*J70+DF71</f>
        <v>18.467648438023144</v>
      </c>
      <c r="K71" s="17">
        <f t="shared" ref="K71:K98" si="198">BZ71*K70+DG71</f>
        <v>7.2919169453029768</v>
      </c>
      <c r="L71" s="17">
        <f t="shared" ref="L71:L98" si="199">CA71*L70+DH71</f>
        <v>2.8791999797365868</v>
      </c>
      <c r="M71" s="17">
        <f t="shared" ref="M71:M98" si="200">CB71*M70+DI71</f>
        <v>1.1368468479330263</v>
      </c>
      <c r="N71" s="17">
        <f t="shared" ref="N71:N98" si="201">CC71*N70+DJ71</f>
        <v>0.44888199364166564</v>
      </c>
      <c r="O71" s="17">
        <f t="shared" ref="O71:O98" si="202">CD71*O70+DK71</f>
        <v>0.17724051038538166</v>
      </c>
      <c r="P71" s="17">
        <f t="shared" ref="P71:P98" si="203">CE71*P70+DL71</f>
        <v>6.998380489437428E-2</v>
      </c>
      <c r="Q71" s="17">
        <f t="shared" ref="Q71:Q98" si="204">CF71*Q70+DM71</f>
        <v>2.7634790030729505E-2</v>
      </c>
      <c r="R71" s="17">
        <f t="shared" ref="R71:R98" si="205">CG71*R70+DN71</f>
        <v>1.0916139285953971E-2</v>
      </c>
      <c r="S71" s="17">
        <f t="shared" ref="S71:S98" si="206">CH71*S70+DO71</f>
        <v>4.321850780232046E-3</v>
      </c>
      <c r="T71" s="17">
        <f t="shared" ref="T71:T98" si="207">CI71*T70+DP71</f>
        <v>1.7359375522520962E-3</v>
      </c>
      <c r="U71" s="17">
        <f t="shared" ref="U71:U98" si="208">CJ71*U70+DQ71</f>
        <v>7.600496402729004E-4</v>
      </c>
      <c r="V71" s="17">
        <f t="shared" ref="V71:V98" si="209">CK71*V70+DR71</f>
        <v>4.8908291665620478E-4</v>
      </c>
      <c r="W71" s="17">
        <f t="shared" ref="W71:W98" si="210">CL71*W70+DS71</f>
        <v>6.7172460563384934E-4</v>
      </c>
      <c r="X71" s="17">
        <f t="shared" ref="X71:X98" si="211">CM71*X70+DT71</f>
        <v>1.4773689015013896E-3</v>
      </c>
      <c r="Y71" s="17">
        <f t="shared" ref="Y71:Y98" si="212">CN71*Y70+DU71</f>
        <v>3.6532245447780673E-3</v>
      </c>
      <c r="Z71" s="17">
        <f t="shared" ref="Z71:Z98" si="213">CO71*Z70+DV71</f>
        <v>9.2173264959345223E-3</v>
      </c>
      <c r="AA71" s="17">
        <f t="shared" ref="AA71:AA98" si="214">CP71*AA70+DW71</f>
        <v>2.3330197373165801E-2</v>
      </c>
      <c r="AB71" s="17">
        <f t="shared" ref="AB71:AB98" si="215">CQ71*AB70+DX71</f>
        <v>5.9081063435972983E-2</v>
      </c>
      <c r="AC71" s="17">
        <f t="shared" ref="AC71:AC98" si="216">CR71*AC70+DY71</f>
        <v>0.14962768393404641</v>
      </c>
      <c r="AD71" s="17">
        <f t="shared" ref="AD71:AD98" si="217">CS71*AD70+DZ71</f>
        <v>0.37894908858022486</v>
      </c>
      <c r="AE71" s="17">
        <f t="shared" ref="AE71:AE98" si="218">CT71*AE70+EA71</f>
        <v>0.95973338156478072</v>
      </c>
      <c r="AF71" s="17">
        <f t="shared" ref="AF71:AF98" si="219">CU71*AF70+EB71</f>
        <v>2.4306390034679204</v>
      </c>
      <c r="AG71" s="17">
        <f t="shared" ref="AG71:AG98" si="220">CV71*AG70+EC71</f>
        <v>6.1558828212152665</v>
      </c>
      <c r="AH71" s="17">
        <f t="shared" ref="AH71:AH98" si="221">CW71*AH70+ED71</f>
        <v>15.590506663395324</v>
      </c>
      <c r="AI71" s="17">
        <f t="shared" ref="AI71:AI98" si="222">CX71*AI70+EE71</f>
        <v>39.484815639283283</v>
      </c>
      <c r="AJ71" s="16">
        <f t="shared" si="164"/>
        <v>100</v>
      </c>
      <c r="AN71" s="35"/>
      <c r="AO71" s="24">
        <f t="shared" si="165"/>
        <v>-1076400000</v>
      </c>
      <c r="AP71" s="20">
        <f t="shared" si="166"/>
        <v>-425014555.52910089</v>
      </c>
      <c r="AQ71" s="20">
        <f t="shared" si="167"/>
        <v>-167816213.68923482</v>
      </c>
      <c r="AR71" s="20">
        <f t="shared" si="168"/>
        <v>-66261922.59562704</v>
      </c>
      <c r="AS71" s="20">
        <f t="shared" si="169"/>
        <v>-26163397.999747083</v>
      </c>
      <c r="AT71" s="20">
        <f t="shared" si="170"/>
        <v>-10330569.527294876</v>
      </c>
      <c r="AU71" s="20">
        <f t="shared" si="171"/>
        <v>-4079006.4903836981</v>
      </c>
      <c r="AV71" s="20">
        <f t="shared" si="172"/>
        <v>-1610588.5931862965</v>
      </c>
      <c r="AW71" s="20">
        <f t="shared" si="173"/>
        <v>-635938.95126274938</v>
      </c>
      <c r="AX71" s="20">
        <f t="shared" si="174"/>
        <v>-251101.89196101492</v>
      </c>
      <c r="AY71" s="20">
        <f t="shared" si="175"/>
        <v>-99153.62663025748</v>
      </c>
      <c r="AZ71" s="20">
        <f t="shared" si="176"/>
        <v>-39167.107758002843</v>
      </c>
      <c r="BA71" s="20">
        <f t="shared" si="177"/>
        <v>-15506.800599472585</v>
      </c>
      <c r="BB71" s="20">
        <f t="shared" si="178"/>
        <v>-6228.543937480521</v>
      </c>
      <c r="BC71" s="20">
        <f t="shared" si="179"/>
        <v>-2727.0581092991665</v>
      </c>
      <c r="BD71" s="20">
        <f t="shared" si="180"/>
        <v>-1754.8295049624628</v>
      </c>
      <c r="BE71" s="20">
        <f t="shared" si="181"/>
        <v>-2410.1478850142512</v>
      </c>
      <c r="BF71" s="20">
        <f t="shared" si="182"/>
        <v>-5300.7996185869861</v>
      </c>
      <c r="BG71" s="20">
        <f t="shared" si="183"/>
        <v>-13107.769666663704</v>
      </c>
      <c r="BH71" s="20">
        <f t="shared" si="184"/>
        <v>-33071.767467413069</v>
      </c>
      <c r="BI71" s="20">
        <f t="shared" si="185"/>
        <v>-83708.748174918903</v>
      </c>
      <c r="BJ71" s="20">
        <f t="shared" si="186"/>
        <v>-211982.85560827106</v>
      </c>
      <c r="BK71" s="20">
        <f t="shared" si="187"/>
        <v>-536864.12995535857</v>
      </c>
      <c r="BL71" s="20">
        <f t="shared" si="188"/>
        <v>-1359669.3298258467</v>
      </c>
      <c r="BM71" s="20">
        <f t="shared" si="189"/>
        <v>-3443523.3730544331</v>
      </c>
      <c r="BN71" s="20">
        <f t="shared" si="190"/>
        <v>-8721132.7444428988</v>
      </c>
      <c r="BO71" s="20">
        <f t="shared" si="191"/>
        <v>-22087307.562520377</v>
      </c>
      <c r="BP71" s="20">
        <f t="shared" si="192"/>
        <v>-55938737.908262424</v>
      </c>
      <c r="BQ71" s="20">
        <f t="shared" si="193"/>
        <v>-141671518.51374844</v>
      </c>
      <c r="BR71" s="24">
        <f t="shared" si="194"/>
        <v>-358800000</v>
      </c>
      <c r="BU71" s="37"/>
      <c r="BV71" s="24">
        <f t="shared" si="102"/>
        <v>0.39484815638014015</v>
      </c>
      <c r="BW71" s="20">
        <f t="shared" si="103"/>
        <v>0.39484815638014015</v>
      </c>
      <c r="BX71" s="20">
        <f t="shared" si="104"/>
        <v>0.39484815638014015</v>
      </c>
      <c r="BY71" s="20">
        <f t="shared" si="105"/>
        <v>0.39484815638014015</v>
      </c>
      <c r="BZ71" s="20">
        <f t="shared" si="106"/>
        <v>0.39484815638014015</v>
      </c>
      <c r="CA71" s="20">
        <f t="shared" si="107"/>
        <v>0.39484815638014015</v>
      </c>
      <c r="CB71" s="20">
        <f t="shared" si="108"/>
        <v>0.39484815638014015</v>
      </c>
      <c r="CC71" s="20">
        <f t="shared" si="109"/>
        <v>0.39484815638014015</v>
      </c>
      <c r="CD71" s="20">
        <f t="shared" si="110"/>
        <v>0.39484815638014015</v>
      </c>
      <c r="CE71" s="20">
        <f t="shared" si="111"/>
        <v>0.39484815638014015</v>
      </c>
      <c r="CF71" s="20">
        <f t="shared" si="112"/>
        <v>0.39484815638014015</v>
      </c>
      <c r="CG71" s="20">
        <f t="shared" si="113"/>
        <v>0.39484815638014015</v>
      </c>
      <c r="CH71" s="20">
        <f t="shared" si="114"/>
        <v>0.39484815638014015</v>
      </c>
      <c r="CI71" s="20">
        <f t="shared" si="115"/>
        <v>0.39484815638014015</v>
      </c>
      <c r="CJ71" s="20">
        <f t="shared" si="116"/>
        <v>0.39484815638014015</v>
      </c>
      <c r="CK71" s="20">
        <f t="shared" si="117"/>
        <v>0.39484815638014015</v>
      </c>
      <c r="CL71" s="20">
        <f t="shared" si="118"/>
        <v>0.39484815638014015</v>
      </c>
      <c r="CM71" s="20">
        <f t="shared" si="119"/>
        <v>0.39484815638014015</v>
      </c>
      <c r="CN71" s="20">
        <f t="shared" si="120"/>
        <v>0.39484815638014015</v>
      </c>
      <c r="CO71" s="20">
        <f t="shared" si="121"/>
        <v>0.39484815638014015</v>
      </c>
      <c r="CP71" s="20">
        <f t="shared" si="122"/>
        <v>0.39484815638014015</v>
      </c>
      <c r="CQ71" s="20">
        <f t="shared" si="123"/>
        <v>0.39484815638014015</v>
      </c>
      <c r="CR71" s="20">
        <f t="shared" si="124"/>
        <v>0.39484815638014015</v>
      </c>
      <c r="CS71" s="20">
        <f t="shared" si="125"/>
        <v>0.39484815638014015</v>
      </c>
      <c r="CT71" s="20">
        <f t="shared" si="126"/>
        <v>0.39484815638014015</v>
      </c>
      <c r="CU71" s="20">
        <f t="shared" si="127"/>
        <v>0.39484815638014015</v>
      </c>
      <c r="CV71" s="20">
        <f t="shared" si="128"/>
        <v>0.39484815638014015</v>
      </c>
      <c r="CW71" s="20">
        <f t="shared" si="129"/>
        <v>0.39484815638014015</v>
      </c>
      <c r="CX71" s="20">
        <f t="shared" si="130"/>
        <v>0.39484815638014015</v>
      </c>
      <c r="CY71" s="24">
        <f t="shared" si="131"/>
        <v>0.39484815638014015</v>
      </c>
      <c r="DB71" s="37"/>
      <c r="DC71" s="24">
        <f t="shared" si="132"/>
        <v>181.54555308595795</v>
      </c>
      <c r="DD71" s="20">
        <f t="shared" si="133"/>
        <v>71.682926935259388</v>
      </c>
      <c r="DE71" s="20">
        <f t="shared" si="134"/>
        <v>28.303871544967894</v>
      </c>
      <c r="DF71" s="20">
        <f t="shared" si="135"/>
        <v>11.17573149959313</v>
      </c>
      <c r="DG71" s="20">
        <f t="shared" si="136"/>
        <v>4.4127169829729933</v>
      </c>
      <c r="DH71" s="20">
        <f t="shared" si="137"/>
        <v>1.7423531758878588</v>
      </c>
      <c r="DI71" s="20">
        <f t="shared" si="138"/>
        <v>0.68796496594009726</v>
      </c>
      <c r="DJ71" s="20">
        <f t="shared" si="139"/>
        <v>0.27164176602001217</v>
      </c>
      <c r="DK71" s="20">
        <f t="shared" si="140"/>
        <v>0.10725742162383863</v>
      </c>
      <c r="DL71" s="20">
        <f t="shared" si="141"/>
        <v>4.2350828555363165E-2</v>
      </c>
      <c r="DM71" s="20">
        <f t="shared" si="142"/>
        <v>1.6723244135143683E-2</v>
      </c>
      <c r="DN71" s="20">
        <f t="shared" si="143"/>
        <v>6.6059218141062259E-3</v>
      </c>
      <c r="DO71" s="20">
        <f t="shared" si="144"/>
        <v>2.6153759675073525E-3</v>
      </c>
      <c r="DP71" s="20">
        <f t="shared" si="145"/>
        <v>1.0505058101543028E-3</v>
      </c>
      <c r="DQ71" s="20">
        <f t="shared" si="146"/>
        <v>4.5994544105375695E-4</v>
      </c>
      <c r="DR71" s="20">
        <f t="shared" si="147"/>
        <v>2.959694286974806E-4</v>
      </c>
      <c r="DS71" s="20">
        <f t="shared" si="148"/>
        <v>4.0649538350414721E-4</v>
      </c>
      <c r="DT71" s="20">
        <f t="shared" si="149"/>
        <v>8.9403251445021301E-4</v>
      </c>
      <c r="DU71" s="20">
        <f t="shared" si="150"/>
        <v>2.2107555684297707E-3</v>
      </c>
      <c r="DV71" s="20">
        <f t="shared" si="151"/>
        <v>5.5778821222609585E-3</v>
      </c>
      <c r="DW71" s="20">
        <f t="shared" si="152"/>
        <v>1.4118311952386496E-2</v>
      </c>
      <c r="DX71" s="20">
        <f t="shared" si="153"/>
        <v>3.5753014461300942E-2</v>
      </c>
      <c r="DY71" s="20">
        <f t="shared" si="154"/>
        <v>9.0547468789257873E-2</v>
      </c>
      <c r="DZ71" s="20">
        <f t="shared" si="155"/>
        <v>0.22932173959238866</v>
      </c>
      <c r="EA71" s="20">
        <f t="shared" si="156"/>
        <v>0.58078442523744944</v>
      </c>
      <c r="EB71" s="20">
        <f t="shared" si="157"/>
        <v>1.4709056741229509</v>
      </c>
      <c r="EC71" s="20">
        <f t="shared" si="158"/>
        <v>3.725243838366243</v>
      </c>
      <c r="ED71" s="20">
        <f t="shared" si="159"/>
        <v>9.4346238503213904</v>
      </c>
      <c r="EE71" s="20">
        <f t="shared" si="160"/>
        <v>23.894308979102554</v>
      </c>
      <c r="EF71" s="24">
        <f t="shared" si="161"/>
        <v>60.51518436198598</v>
      </c>
    </row>
    <row r="72" spans="6:136" ht="15" customHeight="1" x14ac:dyDescent="0.25">
      <c r="F72" s="38"/>
      <c r="G72" s="16">
        <f t="shared" si="162"/>
        <v>300</v>
      </c>
      <c r="H72" s="17">
        <f t="shared" si="195"/>
        <v>118.45444691446512</v>
      </c>
      <c r="I72" s="17">
        <f t="shared" si="196"/>
        <v>46.771519980277262</v>
      </c>
      <c r="J72" s="17">
        <f t="shared" si="197"/>
        <v>18.467648438023144</v>
      </c>
      <c r="K72" s="17">
        <f t="shared" si="198"/>
        <v>7.2919169453029768</v>
      </c>
      <c r="L72" s="17">
        <f t="shared" si="199"/>
        <v>2.8791999797365868</v>
      </c>
      <c r="M72" s="17">
        <f t="shared" si="200"/>
        <v>1.1368468479330263</v>
      </c>
      <c r="N72" s="17">
        <f t="shared" si="201"/>
        <v>0.44888199364166564</v>
      </c>
      <c r="O72" s="17">
        <f t="shared" si="202"/>
        <v>0.17724051038538166</v>
      </c>
      <c r="P72" s="17">
        <f t="shared" si="203"/>
        <v>6.998380489437428E-2</v>
      </c>
      <c r="Q72" s="17">
        <f t="shared" si="204"/>
        <v>2.7634790030729505E-2</v>
      </c>
      <c r="R72" s="17">
        <f t="shared" si="205"/>
        <v>1.0916139285953971E-2</v>
      </c>
      <c r="S72" s="17">
        <f t="shared" si="206"/>
        <v>4.321850780232046E-3</v>
      </c>
      <c r="T72" s="17">
        <f t="shared" si="207"/>
        <v>1.7359375522520962E-3</v>
      </c>
      <c r="U72" s="17">
        <f t="shared" si="208"/>
        <v>7.600496402729004E-4</v>
      </c>
      <c r="V72" s="17">
        <f t="shared" si="209"/>
        <v>4.8908291665620478E-4</v>
      </c>
      <c r="W72" s="17">
        <f t="shared" si="210"/>
        <v>6.7172460563384934E-4</v>
      </c>
      <c r="X72" s="17">
        <f t="shared" si="211"/>
        <v>1.4773689015013896E-3</v>
      </c>
      <c r="Y72" s="17">
        <f t="shared" si="212"/>
        <v>3.6532245447780673E-3</v>
      </c>
      <c r="Z72" s="17">
        <f t="shared" si="213"/>
        <v>9.2173264959345223E-3</v>
      </c>
      <c r="AA72" s="17">
        <f t="shared" si="214"/>
        <v>2.3330197373165801E-2</v>
      </c>
      <c r="AB72" s="17">
        <f t="shared" si="215"/>
        <v>5.9081063435972983E-2</v>
      </c>
      <c r="AC72" s="17">
        <f t="shared" si="216"/>
        <v>0.14962768393404641</v>
      </c>
      <c r="AD72" s="17">
        <f t="shared" si="217"/>
        <v>0.37894908858022486</v>
      </c>
      <c r="AE72" s="17">
        <f t="shared" si="218"/>
        <v>0.95973338156478072</v>
      </c>
      <c r="AF72" s="17">
        <f t="shared" si="219"/>
        <v>2.4306390034679204</v>
      </c>
      <c r="AG72" s="17">
        <f t="shared" si="220"/>
        <v>6.1558828212152665</v>
      </c>
      <c r="AH72" s="17">
        <f t="shared" si="221"/>
        <v>15.590506663395324</v>
      </c>
      <c r="AI72" s="17">
        <f t="shared" si="222"/>
        <v>39.484815639283283</v>
      </c>
      <c r="AJ72" s="16">
        <f t="shared" si="164"/>
        <v>100</v>
      </c>
      <c r="AN72" s="35"/>
      <c r="AO72" s="24">
        <f t="shared" si="165"/>
        <v>-1076400000</v>
      </c>
      <c r="AP72" s="20">
        <f t="shared" si="166"/>
        <v>-425014555.52910089</v>
      </c>
      <c r="AQ72" s="20">
        <f t="shared" si="167"/>
        <v>-167816213.68923482</v>
      </c>
      <c r="AR72" s="20">
        <f t="shared" si="168"/>
        <v>-66261922.59562704</v>
      </c>
      <c r="AS72" s="20">
        <f t="shared" si="169"/>
        <v>-26163397.999747083</v>
      </c>
      <c r="AT72" s="20">
        <f t="shared" si="170"/>
        <v>-10330569.527294876</v>
      </c>
      <c r="AU72" s="20">
        <f t="shared" si="171"/>
        <v>-4079006.4903836981</v>
      </c>
      <c r="AV72" s="20">
        <f t="shared" si="172"/>
        <v>-1610588.5931862965</v>
      </c>
      <c r="AW72" s="20">
        <f t="shared" si="173"/>
        <v>-635938.95126274938</v>
      </c>
      <c r="AX72" s="20">
        <f t="shared" si="174"/>
        <v>-251101.89196101492</v>
      </c>
      <c r="AY72" s="20">
        <f t="shared" si="175"/>
        <v>-99153.62663025748</v>
      </c>
      <c r="AZ72" s="20">
        <f t="shared" si="176"/>
        <v>-39167.107758002843</v>
      </c>
      <c r="BA72" s="20">
        <f t="shared" si="177"/>
        <v>-15506.800599472585</v>
      </c>
      <c r="BB72" s="20">
        <f t="shared" si="178"/>
        <v>-6228.543937480521</v>
      </c>
      <c r="BC72" s="20">
        <f t="shared" si="179"/>
        <v>-2727.0581092991665</v>
      </c>
      <c r="BD72" s="20">
        <f t="shared" si="180"/>
        <v>-1754.8295049624628</v>
      </c>
      <c r="BE72" s="20">
        <f t="shared" si="181"/>
        <v>-2410.1478850142512</v>
      </c>
      <c r="BF72" s="20">
        <f t="shared" si="182"/>
        <v>-5300.7996185869861</v>
      </c>
      <c r="BG72" s="20">
        <f t="shared" si="183"/>
        <v>-13107.769666663704</v>
      </c>
      <c r="BH72" s="20">
        <f t="shared" si="184"/>
        <v>-33071.767467413069</v>
      </c>
      <c r="BI72" s="20">
        <f t="shared" si="185"/>
        <v>-83708.748174918903</v>
      </c>
      <c r="BJ72" s="20">
        <f t="shared" si="186"/>
        <v>-211982.85560827106</v>
      </c>
      <c r="BK72" s="20">
        <f t="shared" si="187"/>
        <v>-536864.12995535857</v>
      </c>
      <c r="BL72" s="20">
        <f t="shared" si="188"/>
        <v>-1359669.3298258467</v>
      </c>
      <c r="BM72" s="20">
        <f t="shared" si="189"/>
        <v>-3443523.3730544331</v>
      </c>
      <c r="BN72" s="20">
        <f t="shared" si="190"/>
        <v>-8721132.7444428988</v>
      </c>
      <c r="BO72" s="20">
        <f t="shared" si="191"/>
        <v>-22087307.562520377</v>
      </c>
      <c r="BP72" s="20">
        <f t="shared" si="192"/>
        <v>-55938737.908262424</v>
      </c>
      <c r="BQ72" s="20">
        <f t="shared" si="193"/>
        <v>-141671518.51374844</v>
      </c>
      <c r="BR72" s="24">
        <f t="shared" si="194"/>
        <v>-358800000</v>
      </c>
      <c r="BU72" s="37"/>
      <c r="BV72" s="24">
        <f t="shared" si="102"/>
        <v>0.39484815638014015</v>
      </c>
      <c r="BW72" s="20">
        <f t="shared" si="103"/>
        <v>0.39484815638014015</v>
      </c>
      <c r="BX72" s="20">
        <f t="shared" si="104"/>
        <v>0.39484815638014015</v>
      </c>
      <c r="BY72" s="20">
        <f t="shared" si="105"/>
        <v>0.39484815638014015</v>
      </c>
      <c r="BZ72" s="20">
        <f t="shared" si="106"/>
        <v>0.39484815638014015</v>
      </c>
      <c r="CA72" s="20">
        <f t="shared" si="107"/>
        <v>0.39484815638014015</v>
      </c>
      <c r="CB72" s="20">
        <f t="shared" si="108"/>
        <v>0.39484815638014015</v>
      </c>
      <c r="CC72" s="20">
        <f t="shared" si="109"/>
        <v>0.39484815638014015</v>
      </c>
      <c r="CD72" s="20">
        <f t="shared" si="110"/>
        <v>0.39484815638014015</v>
      </c>
      <c r="CE72" s="20">
        <f t="shared" si="111"/>
        <v>0.39484815638014015</v>
      </c>
      <c r="CF72" s="20">
        <f t="shared" si="112"/>
        <v>0.39484815638014015</v>
      </c>
      <c r="CG72" s="20">
        <f t="shared" si="113"/>
        <v>0.39484815638014015</v>
      </c>
      <c r="CH72" s="20">
        <f t="shared" si="114"/>
        <v>0.39484815638014015</v>
      </c>
      <c r="CI72" s="20">
        <f t="shared" si="115"/>
        <v>0.39484815638014015</v>
      </c>
      <c r="CJ72" s="20">
        <f t="shared" si="116"/>
        <v>0.39484815638014015</v>
      </c>
      <c r="CK72" s="20">
        <f t="shared" si="117"/>
        <v>0.39484815638014015</v>
      </c>
      <c r="CL72" s="20">
        <f t="shared" si="118"/>
        <v>0.39484815638014015</v>
      </c>
      <c r="CM72" s="20">
        <f t="shared" si="119"/>
        <v>0.39484815638014015</v>
      </c>
      <c r="CN72" s="20">
        <f t="shared" si="120"/>
        <v>0.39484815638014015</v>
      </c>
      <c r="CO72" s="20">
        <f t="shared" si="121"/>
        <v>0.39484815638014015</v>
      </c>
      <c r="CP72" s="20">
        <f t="shared" si="122"/>
        <v>0.39484815638014015</v>
      </c>
      <c r="CQ72" s="20">
        <f t="shared" si="123"/>
        <v>0.39484815638014015</v>
      </c>
      <c r="CR72" s="20">
        <f t="shared" si="124"/>
        <v>0.39484815638014015</v>
      </c>
      <c r="CS72" s="20">
        <f t="shared" si="125"/>
        <v>0.39484815638014015</v>
      </c>
      <c r="CT72" s="20">
        <f t="shared" si="126"/>
        <v>0.39484815638014015</v>
      </c>
      <c r="CU72" s="20">
        <f t="shared" si="127"/>
        <v>0.39484815638014015</v>
      </c>
      <c r="CV72" s="20">
        <f t="shared" si="128"/>
        <v>0.39484815638014015</v>
      </c>
      <c r="CW72" s="20">
        <f t="shared" si="129"/>
        <v>0.39484815638014015</v>
      </c>
      <c r="CX72" s="20">
        <f t="shared" si="130"/>
        <v>0.39484815638014015</v>
      </c>
      <c r="CY72" s="24">
        <f t="shared" si="131"/>
        <v>0.39484815638014015</v>
      </c>
      <c r="DB72" s="37"/>
      <c r="DC72" s="24">
        <f t="shared" si="132"/>
        <v>181.54555308595795</v>
      </c>
      <c r="DD72" s="20">
        <f t="shared" si="133"/>
        <v>71.682926935259388</v>
      </c>
      <c r="DE72" s="20">
        <f t="shared" si="134"/>
        <v>28.303871544967894</v>
      </c>
      <c r="DF72" s="20">
        <f t="shared" si="135"/>
        <v>11.17573149959313</v>
      </c>
      <c r="DG72" s="20">
        <f t="shared" si="136"/>
        <v>4.4127169829729933</v>
      </c>
      <c r="DH72" s="20">
        <f t="shared" si="137"/>
        <v>1.7423531758878588</v>
      </c>
      <c r="DI72" s="20">
        <f t="shared" si="138"/>
        <v>0.68796496594009726</v>
      </c>
      <c r="DJ72" s="20">
        <f t="shared" si="139"/>
        <v>0.27164176602001217</v>
      </c>
      <c r="DK72" s="20">
        <f t="shared" si="140"/>
        <v>0.10725742162383863</v>
      </c>
      <c r="DL72" s="20">
        <f t="shared" si="141"/>
        <v>4.2350828555363165E-2</v>
      </c>
      <c r="DM72" s="20">
        <f t="shared" si="142"/>
        <v>1.6723244135143683E-2</v>
      </c>
      <c r="DN72" s="20">
        <f t="shared" si="143"/>
        <v>6.6059218141062259E-3</v>
      </c>
      <c r="DO72" s="20">
        <f t="shared" si="144"/>
        <v>2.6153759675073525E-3</v>
      </c>
      <c r="DP72" s="20">
        <f t="shared" si="145"/>
        <v>1.0505058101543028E-3</v>
      </c>
      <c r="DQ72" s="20">
        <f t="shared" si="146"/>
        <v>4.5994544105375695E-4</v>
      </c>
      <c r="DR72" s="20">
        <f t="shared" si="147"/>
        <v>2.959694286974806E-4</v>
      </c>
      <c r="DS72" s="20">
        <f t="shared" si="148"/>
        <v>4.0649538350414721E-4</v>
      </c>
      <c r="DT72" s="20">
        <f t="shared" si="149"/>
        <v>8.9403251445021301E-4</v>
      </c>
      <c r="DU72" s="20">
        <f t="shared" si="150"/>
        <v>2.2107555684297707E-3</v>
      </c>
      <c r="DV72" s="20">
        <f t="shared" si="151"/>
        <v>5.5778821222609585E-3</v>
      </c>
      <c r="DW72" s="20">
        <f t="shared" si="152"/>
        <v>1.4118311952386496E-2</v>
      </c>
      <c r="DX72" s="20">
        <f t="shared" si="153"/>
        <v>3.5753014461300942E-2</v>
      </c>
      <c r="DY72" s="20">
        <f t="shared" si="154"/>
        <v>9.0547468789257873E-2</v>
      </c>
      <c r="DZ72" s="20">
        <f t="shared" si="155"/>
        <v>0.22932173959238866</v>
      </c>
      <c r="EA72" s="20">
        <f t="shared" si="156"/>
        <v>0.58078442523744944</v>
      </c>
      <c r="EB72" s="20">
        <f t="shared" si="157"/>
        <v>1.4709056741229509</v>
      </c>
      <c r="EC72" s="20">
        <f t="shared" si="158"/>
        <v>3.725243838366243</v>
      </c>
      <c r="ED72" s="20">
        <f t="shared" si="159"/>
        <v>9.4346238503213904</v>
      </c>
      <c r="EE72" s="20">
        <f t="shared" si="160"/>
        <v>23.894308979102554</v>
      </c>
      <c r="EF72" s="24">
        <f t="shared" si="161"/>
        <v>60.51518436198598</v>
      </c>
    </row>
    <row r="73" spans="6:136" ht="15" customHeight="1" x14ac:dyDescent="0.25">
      <c r="F73" s="38"/>
      <c r="G73" s="16">
        <f t="shared" si="162"/>
        <v>300</v>
      </c>
      <c r="H73" s="17">
        <f t="shared" si="195"/>
        <v>118.45444691446512</v>
      </c>
      <c r="I73" s="17">
        <f t="shared" si="196"/>
        <v>46.771519980277262</v>
      </c>
      <c r="J73" s="17">
        <f t="shared" si="197"/>
        <v>18.467648438023144</v>
      </c>
      <c r="K73" s="17">
        <f t="shared" si="198"/>
        <v>7.2919169453029768</v>
      </c>
      <c r="L73" s="17">
        <f t="shared" si="199"/>
        <v>2.8791999797365868</v>
      </c>
      <c r="M73" s="17">
        <f t="shared" si="200"/>
        <v>1.1368468479330263</v>
      </c>
      <c r="N73" s="17">
        <f t="shared" si="201"/>
        <v>0.44888199364166564</v>
      </c>
      <c r="O73" s="17">
        <f t="shared" si="202"/>
        <v>0.17724051038538166</v>
      </c>
      <c r="P73" s="17">
        <f t="shared" si="203"/>
        <v>6.998380489437428E-2</v>
      </c>
      <c r="Q73" s="17">
        <f t="shared" si="204"/>
        <v>2.7634790030729505E-2</v>
      </c>
      <c r="R73" s="17">
        <f t="shared" si="205"/>
        <v>1.0916139285953971E-2</v>
      </c>
      <c r="S73" s="17">
        <f t="shared" si="206"/>
        <v>4.321850780232046E-3</v>
      </c>
      <c r="T73" s="17">
        <f t="shared" si="207"/>
        <v>1.7359375522520962E-3</v>
      </c>
      <c r="U73" s="17">
        <f t="shared" si="208"/>
        <v>7.600496402729004E-4</v>
      </c>
      <c r="V73" s="17">
        <f t="shared" si="209"/>
        <v>4.8908291665620478E-4</v>
      </c>
      <c r="W73" s="17">
        <f t="shared" si="210"/>
        <v>6.7172460563384934E-4</v>
      </c>
      <c r="X73" s="17">
        <f t="shared" si="211"/>
        <v>1.4773689015013896E-3</v>
      </c>
      <c r="Y73" s="17">
        <f t="shared" si="212"/>
        <v>3.6532245447780673E-3</v>
      </c>
      <c r="Z73" s="17">
        <f t="shared" si="213"/>
        <v>9.2173264959345223E-3</v>
      </c>
      <c r="AA73" s="17">
        <f t="shared" si="214"/>
        <v>2.3330197373165801E-2</v>
      </c>
      <c r="AB73" s="17">
        <f t="shared" si="215"/>
        <v>5.9081063435972983E-2</v>
      </c>
      <c r="AC73" s="17">
        <f t="shared" si="216"/>
        <v>0.14962768393404641</v>
      </c>
      <c r="AD73" s="17">
        <f t="shared" si="217"/>
        <v>0.37894908858022486</v>
      </c>
      <c r="AE73" s="17">
        <f t="shared" si="218"/>
        <v>0.95973338156478072</v>
      </c>
      <c r="AF73" s="17">
        <f t="shared" si="219"/>
        <v>2.4306390034679204</v>
      </c>
      <c r="AG73" s="17">
        <f t="shared" si="220"/>
        <v>6.1558828212152665</v>
      </c>
      <c r="AH73" s="17">
        <f t="shared" si="221"/>
        <v>15.590506663395324</v>
      </c>
      <c r="AI73" s="17">
        <f t="shared" si="222"/>
        <v>39.484815639283283</v>
      </c>
      <c r="AJ73" s="16">
        <f t="shared" si="164"/>
        <v>100</v>
      </c>
      <c r="AN73" s="35"/>
      <c r="AO73" s="24">
        <f t="shared" si="165"/>
        <v>-1076400000</v>
      </c>
      <c r="AP73" s="20">
        <f t="shared" si="166"/>
        <v>-425014555.52910089</v>
      </c>
      <c r="AQ73" s="20">
        <f t="shared" si="167"/>
        <v>-167816213.68923482</v>
      </c>
      <c r="AR73" s="20">
        <f t="shared" si="168"/>
        <v>-66261922.59562704</v>
      </c>
      <c r="AS73" s="20">
        <f t="shared" si="169"/>
        <v>-26163397.999747083</v>
      </c>
      <c r="AT73" s="20">
        <f t="shared" si="170"/>
        <v>-10330569.527294876</v>
      </c>
      <c r="AU73" s="20">
        <f t="shared" si="171"/>
        <v>-4079006.4903836981</v>
      </c>
      <c r="AV73" s="20">
        <f t="shared" si="172"/>
        <v>-1610588.5931862965</v>
      </c>
      <c r="AW73" s="20">
        <f t="shared" si="173"/>
        <v>-635938.95126274938</v>
      </c>
      <c r="AX73" s="20">
        <f t="shared" si="174"/>
        <v>-251101.89196101492</v>
      </c>
      <c r="AY73" s="20">
        <f t="shared" si="175"/>
        <v>-99153.62663025748</v>
      </c>
      <c r="AZ73" s="20">
        <f t="shared" si="176"/>
        <v>-39167.107758002843</v>
      </c>
      <c r="BA73" s="20">
        <f t="shared" si="177"/>
        <v>-15506.800599472585</v>
      </c>
      <c r="BB73" s="20">
        <f t="shared" si="178"/>
        <v>-6228.543937480521</v>
      </c>
      <c r="BC73" s="20">
        <f t="shared" si="179"/>
        <v>-2727.0581092991665</v>
      </c>
      <c r="BD73" s="20">
        <f t="shared" si="180"/>
        <v>-1754.8295049624628</v>
      </c>
      <c r="BE73" s="20">
        <f t="shared" si="181"/>
        <v>-2410.1478850142512</v>
      </c>
      <c r="BF73" s="20">
        <f t="shared" si="182"/>
        <v>-5300.7996185869861</v>
      </c>
      <c r="BG73" s="20">
        <f t="shared" si="183"/>
        <v>-13107.769666663704</v>
      </c>
      <c r="BH73" s="20">
        <f t="shared" si="184"/>
        <v>-33071.767467413069</v>
      </c>
      <c r="BI73" s="20">
        <f t="shared" si="185"/>
        <v>-83708.748174918903</v>
      </c>
      <c r="BJ73" s="20">
        <f t="shared" si="186"/>
        <v>-211982.85560827106</v>
      </c>
      <c r="BK73" s="20">
        <f t="shared" si="187"/>
        <v>-536864.12995535857</v>
      </c>
      <c r="BL73" s="20">
        <f t="shared" si="188"/>
        <v>-1359669.3298258467</v>
      </c>
      <c r="BM73" s="20">
        <f t="shared" si="189"/>
        <v>-3443523.3730544331</v>
      </c>
      <c r="BN73" s="20">
        <f t="shared" si="190"/>
        <v>-8721132.7444428988</v>
      </c>
      <c r="BO73" s="20">
        <f t="shared" si="191"/>
        <v>-22087307.562520377</v>
      </c>
      <c r="BP73" s="20">
        <f t="shared" si="192"/>
        <v>-55938737.908262424</v>
      </c>
      <c r="BQ73" s="20">
        <f t="shared" si="193"/>
        <v>-141671518.51374844</v>
      </c>
      <c r="BR73" s="24">
        <f t="shared" si="194"/>
        <v>-358800000</v>
      </c>
      <c r="BU73" s="37"/>
      <c r="BV73" s="24">
        <f t="shared" si="102"/>
        <v>0.39484815638014015</v>
      </c>
      <c r="BW73" s="20">
        <f t="shared" si="103"/>
        <v>0.39484815638014015</v>
      </c>
      <c r="BX73" s="20">
        <f t="shared" si="104"/>
        <v>0.39484815638014015</v>
      </c>
      <c r="BY73" s="20">
        <f t="shared" si="105"/>
        <v>0.39484815638014015</v>
      </c>
      <c r="BZ73" s="20">
        <f t="shared" si="106"/>
        <v>0.39484815638014015</v>
      </c>
      <c r="CA73" s="20">
        <f t="shared" si="107"/>
        <v>0.39484815638014015</v>
      </c>
      <c r="CB73" s="20">
        <f t="shared" si="108"/>
        <v>0.39484815638014015</v>
      </c>
      <c r="CC73" s="20">
        <f t="shared" si="109"/>
        <v>0.39484815638014015</v>
      </c>
      <c r="CD73" s="20">
        <f t="shared" si="110"/>
        <v>0.39484815638014015</v>
      </c>
      <c r="CE73" s="20">
        <f t="shared" si="111"/>
        <v>0.39484815638014015</v>
      </c>
      <c r="CF73" s="20">
        <f t="shared" si="112"/>
        <v>0.39484815638014015</v>
      </c>
      <c r="CG73" s="20">
        <f t="shared" si="113"/>
        <v>0.39484815638014015</v>
      </c>
      <c r="CH73" s="20">
        <f t="shared" si="114"/>
        <v>0.39484815638014015</v>
      </c>
      <c r="CI73" s="20">
        <f t="shared" si="115"/>
        <v>0.39484815638014015</v>
      </c>
      <c r="CJ73" s="20">
        <f t="shared" si="116"/>
        <v>0.39484815638014015</v>
      </c>
      <c r="CK73" s="20">
        <f t="shared" si="117"/>
        <v>0.39484815638014015</v>
      </c>
      <c r="CL73" s="20">
        <f t="shared" si="118"/>
        <v>0.39484815638014015</v>
      </c>
      <c r="CM73" s="20">
        <f t="shared" si="119"/>
        <v>0.39484815638014015</v>
      </c>
      <c r="CN73" s="20">
        <f t="shared" si="120"/>
        <v>0.39484815638014015</v>
      </c>
      <c r="CO73" s="20">
        <f t="shared" si="121"/>
        <v>0.39484815638014015</v>
      </c>
      <c r="CP73" s="20">
        <f t="shared" si="122"/>
        <v>0.39484815638014015</v>
      </c>
      <c r="CQ73" s="20">
        <f t="shared" si="123"/>
        <v>0.39484815638014015</v>
      </c>
      <c r="CR73" s="20">
        <f t="shared" si="124"/>
        <v>0.39484815638014015</v>
      </c>
      <c r="CS73" s="20">
        <f t="shared" si="125"/>
        <v>0.39484815638014015</v>
      </c>
      <c r="CT73" s="20">
        <f t="shared" si="126"/>
        <v>0.39484815638014015</v>
      </c>
      <c r="CU73" s="20">
        <f t="shared" si="127"/>
        <v>0.39484815638014015</v>
      </c>
      <c r="CV73" s="20">
        <f t="shared" si="128"/>
        <v>0.39484815638014015</v>
      </c>
      <c r="CW73" s="20">
        <f t="shared" si="129"/>
        <v>0.39484815638014015</v>
      </c>
      <c r="CX73" s="20">
        <f t="shared" si="130"/>
        <v>0.39484815638014015</v>
      </c>
      <c r="CY73" s="24">
        <f t="shared" si="131"/>
        <v>0.39484815638014015</v>
      </c>
      <c r="DB73" s="37"/>
      <c r="DC73" s="24">
        <f t="shared" si="132"/>
        <v>181.54555308595795</v>
      </c>
      <c r="DD73" s="20">
        <f t="shared" si="133"/>
        <v>71.682926935259388</v>
      </c>
      <c r="DE73" s="20">
        <f t="shared" si="134"/>
        <v>28.303871544967894</v>
      </c>
      <c r="DF73" s="20">
        <f t="shared" si="135"/>
        <v>11.17573149959313</v>
      </c>
      <c r="DG73" s="20">
        <f t="shared" si="136"/>
        <v>4.4127169829729933</v>
      </c>
      <c r="DH73" s="20">
        <f t="shared" si="137"/>
        <v>1.7423531758878588</v>
      </c>
      <c r="DI73" s="20">
        <f t="shared" si="138"/>
        <v>0.68796496594009726</v>
      </c>
      <c r="DJ73" s="20">
        <f t="shared" si="139"/>
        <v>0.27164176602001217</v>
      </c>
      <c r="DK73" s="20">
        <f t="shared" si="140"/>
        <v>0.10725742162383863</v>
      </c>
      <c r="DL73" s="20">
        <f t="shared" si="141"/>
        <v>4.2350828555363165E-2</v>
      </c>
      <c r="DM73" s="20">
        <f t="shared" si="142"/>
        <v>1.6723244135143683E-2</v>
      </c>
      <c r="DN73" s="20">
        <f t="shared" si="143"/>
        <v>6.6059218141062259E-3</v>
      </c>
      <c r="DO73" s="20">
        <f t="shared" si="144"/>
        <v>2.6153759675073525E-3</v>
      </c>
      <c r="DP73" s="20">
        <f t="shared" si="145"/>
        <v>1.0505058101543028E-3</v>
      </c>
      <c r="DQ73" s="20">
        <f t="shared" si="146"/>
        <v>4.5994544105375695E-4</v>
      </c>
      <c r="DR73" s="20">
        <f t="shared" si="147"/>
        <v>2.959694286974806E-4</v>
      </c>
      <c r="DS73" s="20">
        <f t="shared" si="148"/>
        <v>4.0649538350414721E-4</v>
      </c>
      <c r="DT73" s="20">
        <f t="shared" si="149"/>
        <v>8.9403251445021301E-4</v>
      </c>
      <c r="DU73" s="20">
        <f t="shared" si="150"/>
        <v>2.2107555684297707E-3</v>
      </c>
      <c r="DV73" s="20">
        <f t="shared" si="151"/>
        <v>5.5778821222609585E-3</v>
      </c>
      <c r="DW73" s="20">
        <f t="shared" si="152"/>
        <v>1.4118311952386496E-2</v>
      </c>
      <c r="DX73" s="20">
        <f t="shared" si="153"/>
        <v>3.5753014461300942E-2</v>
      </c>
      <c r="DY73" s="20">
        <f t="shared" si="154"/>
        <v>9.0547468789257873E-2</v>
      </c>
      <c r="DZ73" s="20">
        <f t="shared" si="155"/>
        <v>0.22932173959238866</v>
      </c>
      <c r="EA73" s="20">
        <f t="shared" si="156"/>
        <v>0.58078442523744944</v>
      </c>
      <c r="EB73" s="20">
        <f t="shared" si="157"/>
        <v>1.4709056741229509</v>
      </c>
      <c r="EC73" s="20">
        <f t="shared" si="158"/>
        <v>3.725243838366243</v>
      </c>
      <c r="ED73" s="20">
        <f t="shared" si="159"/>
        <v>9.4346238503213904</v>
      </c>
      <c r="EE73" s="20">
        <f t="shared" si="160"/>
        <v>23.894308979102554</v>
      </c>
      <c r="EF73" s="24">
        <f t="shared" si="161"/>
        <v>60.51518436198598</v>
      </c>
    </row>
    <row r="74" spans="6:136" ht="15" customHeight="1" x14ac:dyDescent="0.25">
      <c r="F74" s="38"/>
      <c r="G74" s="16">
        <f t="shared" si="162"/>
        <v>300</v>
      </c>
      <c r="H74" s="17">
        <f t="shared" si="195"/>
        <v>118.45444691446512</v>
      </c>
      <c r="I74" s="17">
        <f t="shared" si="196"/>
        <v>46.771519980277262</v>
      </c>
      <c r="J74" s="17">
        <f t="shared" si="197"/>
        <v>18.467648438023144</v>
      </c>
      <c r="K74" s="17">
        <f t="shared" si="198"/>
        <v>7.2919169453029768</v>
      </c>
      <c r="L74" s="17">
        <f t="shared" si="199"/>
        <v>2.8791999797365868</v>
      </c>
      <c r="M74" s="17">
        <f t="shared" si="200"/>
        <v>1.1368468479330263</v>
      </c>
      <c r="N74" s="17">
        <f t="shared" si="201"/>
        <v>0.44888199364166564</v>
      </c>
      <c r="O74" s="17">
        <f t="shared" si="202"/>
        <v>0.17724051038538166</v>
      </c>
      <c r="P74" s="17">
        <f t="shared" si="203"/>
        <v>6.998380489437428E-2</v>
      </c>
      <c r="Q74" s="17">
        <f t="shared" si="204"/>
        <v>2.7634790030729505E-2</v>
      </c>
      <c r="R74" s="17">
        <f t="shared" si="205"/>
        <v>1.0916139285953971E-2</v>
      </c>
      <c r="S74" s="17">
        <f t="shared" si="206"/>
        <v>4.321850780232046E-3</v>
      </c>
      <c r="T74" s="17">
        <f t="shared" si="207"/>
        <v>1.7359375522520962E-3</v>
      </c>
      <c r="U74" s="17">
        <f t="shared" si="208"/>
        <v>7.600496402729004E-4</v>
      </c>
      <c r="V74" s="17">
        <f t="shared" si="209"/>
        <v>4.8908291665620478E-4</v>
      </c>
      <c r="W74" s="17">
        <f t="shared" si="210"/>
        <v>6.7172460563384934E-4</v>
      </c>
      <c r="X74" s="17">
        <f t="shared" si="211"/>
        <v>1.4773689015013896E-3</v>
      </c>
      <c r="Y74" s="17">
        <f t="shared" si="212"/>
        <v>3.6532245447780673E-3</v>
      </c>
      <c r="Z74" s="17">
        <f t="shared" si="213"/>
        <v>9.2173264959345223E-3</v>
      </c>
      <c r="AA74" s="17">
        <f t="shared" si="214"/>
        <v>2.3330197373165801E-2</v>
      </c>
      <c r="AB74" s="17">
        <f t="shared" si="215"/>
        <v>5.9081063435972983E-2</v>
      </c>
      <c r="AC74" s="17">
        <f t="shared" si="216"/>
        <v>0.14962768393404641</v>
      </c>
      <c r="AD74" s="17">
        <f t="shared" si="217"/>
        <v>0.37894908858022486</v>
      </c>
      <c r="AE74" s="17">
        <f t="shared" si="218"/>
        <v>0.95973338156478072</v>
      </c>
      <c r="AF74" s="17">
        <f t="shared" si="219"/>
        <v>2.4306390034679204</v>
      </c>
      <c r="AG74" s="17">
        <f t="shared" si="220"/>
        <v>6.1558828212152665</v>
      </c>
      <c r="AH74" s="17">
        <f t="shared" si="221"/>
        <v>15.590506663395324</v>
      </c>
      <c r="AI74" s="17">
        <f t="shared" si="222"/>
        <v>39.484815639283283</v>
      </c>
      <c r="AJ74" s="16">
        <f t="shared" si="164"/>
        <v>100</v>
      </c>
      <c r="AN74" s="35"/>
      <c r="AO74" s="24">
        <f t="shared" si="165"/>
        <v>-1076400000</v>
      </c>
      <c r="AP74" s="20">
        <f t="shared" si="166"/>
        <v>-425014555.52910089</v>
      </c>
      <c r="AQ74" s="20">
        <f t="shared" si="167"/>
        <v>-167816213.68923482</v>
      </c>
      <c r="AR74" s="20">
        <f t="shared" si="168"/>
        <v>-66261922.59562704</v>
      </c>
      <c r="AS74" s="20">
        <f t="shared" si="169"/>
        <v>-26163397.999747083</v>
      </c>
      <c r="AT74" s="20">
        <f t="shared" si="170"/>
        <v>-10330569.527294876</v>
      </c>
      <c r="AU74" s="20">
        <f t="shared" si="171"/>
        <v>-4079006.4903836981</v>
      </c>
      <c r="AV74" s="20">
        <f t="shared" si="172"/>
        <v>-1610588.5931862965</v>
      </c>
      <c r="AW74" s="20">
        <f t="shared" si="173"/>
        <v>-635938.95126274938</v>
      </c>
      <c r="AX74" s="20">
        <f t="shared" si="174"/>
        <v>-251101.89196101492</v>
      </c>
      <c r="AY74" s="20">
        <f t="shared" si="175"/>
        <v>-99153.62663025748</v>
      </c>
      <c r="AZ74" s="20">
        <f t="shared" si="176"/>
        <v>-39167.107758002843</v>
      </c>
      <c r="BA74" s="20">
        <f t="shared" si="177"/>
        <v>-15506.800599472585</v>
      </c>
      <c r="BB74" s="20">
        <f t="shared" si="178"/>
        <v>-6228.543937480521</v>
      </c>
      <c r="BC74" s="20">
        <f t="shared" si="179"/>
        <v>-2727.0581092991665</v>
      </c>
      <c r="BD74" s="20">
        <f t="shared" si="180"/>
        <v>-1754.8295049624628</v>
      </c>
      <c r="BE74" s="20">
        <f t="shared" si="181"/>
        <v>-2410.1478850142512</v>
      </c>
      <c r="BF74" s="20">
        <f t="shared" si="182"/>
        <v>-5300.7996185869861</v>
      </c>
      <c r="BG74" s="20">
        <f t="shared" si="183"/>
        <v>-13107.769666663704</v>
      </c>
      <c r="BH74" s="20">
        <f t="shared" si="184"/>
        <v>-33071.767467413069</v>
      </c>
      <c r="BI74" s="20">
        <f t="shared" si="185"/>
        <v>-83708.748174918903</v>
      </c>
      <c r="BJ74" s="20">
        <f t="shared" si="186"/>
        <v>-211982.85560827106</v>
      </c>
      <c r="BK74" s="20">
        <f t="shared" si="187"/>
        <v>-536864.12995535857</v>
      </c>
      <c r="BL74" s="20">
        <f t="shared" si="188"/>
        <v>-1359669.3298258467</v>
      </c>
      <c r="BM74" s="20">
        <f t="shared" si="189"/>
        <v>-3443523.3730544331</v>
      </c>
      <c r="BN74" s="20">
        <f t="shared" si="190"/>
        <v>-8721132.7444428988</v>
      </c>
      <c r="BO74" s="20">
        <f t="shared" si="191"/>
        <v>-22087307.562520377</v>
      </c>
      <c r="BP74" s="20">
        <f t="shared" si="192"/>
        <v>-55938737.908262424</v>
      </c>
      <c r="BQ74" s="20">
        <f t="shared" si="193"/>
        <v>-141671518.51374844</v>
      </c>
      <c r="BR74" s="24">
        <f t="shared" si="194"/>
        <v>-358800000</v>
      </c>
      <c r="BU74" s="37"/>
      <c r="BV74" s="24">
        <f t="shared" si="102"/>
        <v>0.39484815638014015</v>
      </c>
      <c r="BW74" s="20">
        <f t="shared" si="103"/>
        <v>0.39484815638014015</v>
      </c>
      <c r="BX74" s="20">
        <f t="shared" si="104"/>
        <v>0.39484815638014015</v>
      </c>
      <c r="BY74" s="20">
        <f t="shared" si="105"/>
        <v>0.39484815638014015</v>
      </c>
      <c r="BZ74" s="20">
        <f t="shared" si="106"/>
        <v>0.39484815638014015</v>
      </c>
      <c r="CA74" s="20">
        <f t="shared" si="107"/>
        <v>0.39484815638014015</v>
      </c>
      <c r="CB74" s="20">
        <f t="shared" si="108"/>
        <v>0.39484815638014015</v>
      </c>
      <c r="CC74" s="20">
        <f t="shared" si="109"/>
        <v>0.39484815638014015</v>
      </c>
      <c r="CD74" s="20">
        <f t="shared" si="110"/>
        <v>0.39484815638014015</v>
      </c>
      <c r="CE74" s="20">
        <f t="shared" si="111"/>
        <v>0.39484815638014015</v>
      </c>
      <c r="CF74" s="20">
        <f t="shared" si="112"/>
        <v>0.39484815638014015</v>
      </c>
      <c r="CG74" s="20">
        <f t="shared" si="113"/>
        <v>0.39484815638014015</v>
      </c>
      <c r="CH74" s="20">
        <f t="shared" si="114"/>
        <v>0.39484815638014015</v>
      </c>
      <c r="CI74" s="20">
        <f t="shared" si="115"/>
        <v>0.39484815638014015</v>
      </c>
      <c r="CJ74" s="20">
        <f t="shared" si="116"/>
        <v>0.39484815638014015</v>
      </c>
      <c r="CK74" s="20">
        <f t="shared" si="117"/>
        <v>0.39484815638014015</v>
      </c>
      <c r="CL74" s="20">
        <f t="shared" si="118"/>
        <v>0.39484815638014015</v>
      </c>
      <c r="CM74" s="20">
        <f t="shared" si="119"/>
        <v>0.39484815638014015</v>
      </c>
      <c r="CN74" s="20">
        <f t="shared" si="120"/>
        <v>0.39484815638014015</v>
      </c>
      <c r="CO74" s="20">
        <f t="shared" si="121"/>
        <v>0.39484815638014015</v>
      </c>
      <c r="CP74" s="20">
        <f t="shared" si="122"/>
        <v>0.39484815638014015</v>
      </c>
      <c r="CQ74" s="20">
        <f t="shared" si="123"/>
        <v>0.39484815638014015</v>
      </c>
      <c r="CR74" s="20">
        <f t="shared" si="124"/>
        <v>0.39484815638014015</v>
      </c>
      <c r="CS74" s="20">
        <f t="shared" si="125"/>
        <v>0.39484815638014015</v>
      </c>
      <c r="CT74" s="20">
        <f t="shared" si="126"/>
        <v>0.39484815638014015</v>
      </c>
      <c r="CU74" s="20">
        <f t="shared" si="127"/>
        <v>0.39484815638014015</v>
      </c>
      <c r="CV74" s="20">
        <f t="shared" si="128"/>
        <v>0.39484815638014015</v>
      </c>
      <c r="CW74" s="20">
        <f t="shared" si="129"/>
        <v>0.39484815638014015</v>
      </c>
      <c r="CX74" s="20">
        <f t="shared" si="130"/>
        <v>0.39484815638014015</v>
      </c>
      <c r="CY74" s="24">
        <f t="shared" si="131"/>
        <v>0.39484815638014015</v>
      </c>
      <c r="DB74" s="37"/>
      <c r="DC74" s="24">
        <f t="shared" si="132"/>
        <v>181.54555308595795</v>
      </c>
      <c r="DD74" s="20">
        <f t="shared" si="133"/>
        <v>71.682926935259388</v>
      </c>
      <c r="DE74" s="20">
        <f t="shared" si="134"/>
        <v>28.303871544967894</v>
      </c>
      <c r="DF74" s="20">
        <f t="shared" si="135"/>
        <v>11.17573149959313</v>
      </c>
      <c r="DG74" s="20">
        <f t="shared" si="136"/>
        <v>4.4127169829729933</v>
      </c>
      <c r="DH74" s="20">
        <f t="shared" si="137"/>
        <v>1.7423531758878588</v>
      </c>
      <c r="DI74" s="20">
        <f t="shared" si="138"/>
        <v>0.68796496594009726</v>
      </c>
      <c r="DJ74" s="20">
        <f t="shared" si="139"/>
        <v>0.27164176602001217</v>
      </c>
      <c r="DK74" s="20">
        <f t="shared" si="140"/>
        <v>0.10725742162383863</v>
      </c>
      <c r="DL74" s="20">
        <f t="shared" si="141"/>
        <v>4.2350828555363165E-2</v>
      </c>
      <c r="DM74" s="20">
        <f t="shared" si="142"/>
        <v>1.6723244135143683E-2</v>
      </c>
      <c r="DN74" s="20">
        <f t="shared" si="143"/>
        <v>6.6059218141062259E-3</v>
      </c>
      <c r="DO74" s="20">
        <f t="shared" si="144"/>
        <v>2.6153759675073525E-3</v>
      </c>
      <c r="DP74" s="20">
        <f t="shared" si="145"/>
        <v>1.0505058101543028E-3</v>
      </c>
      <c r="DQ74" s="20">
        <f t="shared" si="146"/>
        <v>4.5994544105375695E-4</v>
      </c>
      <c r="DR74" s="20">
        <f t="shared" si="147"/>
        <v>2.959694286974806E-4</v>
      </c>
      <c r="DS74" s="20">
        <f t="shared" si="148"/>
        <v>4.0649538350414721E-4</v>
      </c>
      <c r="DT74" s="20">
        <f t="shared" si="149"/>
        <v>8.9403251445021301E-4</v>
      </c>
      <c r="DU74" s="20">
        <f t="shared" si="150"/>
        <v>2.2107555684297707E-3</v>
      </c>
      <c r="DV74" s="20">
        <f t="shared" si="151"/>
        <v>5.5778821222609585E-3</v>
      </c>
      <c r="DW74" s="20">
        <f t="shared" si="152"/>
        <v>1.4118311952386496E-2</v>
      </c>
      <c r="DX74" s="20">
        <f t="shared" si="153"/>
        <v>3.5753014461300942E-2</v>
      </c>
      <c r="DY74" s="20">
        <f t="shared" si="154"/>
        <v>9.0547468789257873E-2</v>
      </c>
      <c r="DZ74" s="20">
        <f t="shared" si="155"/>
        <v>0.22932173959238866</v>
      </c>
      <c r="EA74" s="20">
        <f t="shared" si="156"/>
        <v>0.58078442523744944</v>
      </c>
      <c r="EB74" s="20">
        <f t="shared" si="157"/>
        <v>1.4709056741229509</v>
      </c>
      <c r="EC74" s="20">
        <f t="shared" si="158"/>
        <v>3.725243838366243</v>
      </c>
      <c r="ED74" s="20">
        <f t="shared" si="159"/>
        <v>9.4346238503213904</v>
      </c>
      <c r="EE74" s="20">
        <f t="shared" si="160"/>
        <v>23.894308979102554</v>
      </c>
      <c r="EF74" s="24">
        <f t="shared" si="161"/>
        <v>60.51518436198598</v>
      </c>
    </row>
    <row r="75" spans="6:136" ht="15" customHeight="1" x14ac:dyDescent="0.25">
      <c r="F75" s="38"/>
      <c r="G75" s="16">
        <f t="shared" si="162"/>
        <v>300</v>
      </c>
      <c r="H75" s="17">
        <f t="shared" si="195"/>
        <v>118.45444691446512</v>
      </c>
      <c r="I75" s="17">
        <f t="shared" si="196"/>
        <v>46.771519980277262</v>
      </c>
      <c r="J75" s="17">
        <f t="shared" si="197"/>
        <v>18.467648438023144</v>
      </c>
      <c r="K75" s="17">
        <f t="shared" si="198"/>
        <v>7.2919169453029768</v>
      </c>
      <c r="L75" s="17">
        <f t="shared" si="199"/>
        <v>2.8791999797365868</v>
      </c>
      <c r="M75" s="17">
        <f t="shared" si="200"/>
        <v>1.1368468479330263</v>
      </c>
      <c r="N75" s="17">
        <f t="shared" si="201"/>
        <v>0.44888199364166564</v>
      </c>
      <c r="O75" s="17">
        <f t="shared" si="202"/>
        <v>0.17724051038538166</v>
      </c>
      <c r="P75" s="17">
        <f t="shared" si="203"/>
        <v>6.998380489437428E-2</v>
      </c>
      <c r="Q75" s="17">
        <f t="shared" si="204"/>
        <v>2.7634790030729505E-2</v>
      </c>
      <c r="R75" s="17">
        <f t="shared" si="205"/>
        <v>1.0916139285953971E-2</v>
      </c>
      <c r="S75" s="17">
        <f t="shared" si="206"/>
        <v>4.321850780232046E-3</v>
      </c>
      <c r="T75" s="17">
        <f t="shared" si="207"/>
        <v>1.7359375522520962E-3</v>
      </c>
      <c r="U75" s="17">
        <f t="shared" si="208"/>
        <v>7.600496402729004E-4</v>
      </c>
      <c r="V75" s="17">
        <f t="shared" si="209"/>
        <v>4.8908291665620478E-4</v>
      </c>
      <c r="W75" s="17">
        <f t="shared" si="210"/>
        <v>6.7172460563384934E-4</v>
      </c>
      <c r="X75" s="17">
        <f t="shared" si="211"/>
        <v>1.4773689015013896E-3</v>
      </c>
      <c r="Y75" s="17">
        <f t="shared" si="212"/>
        <v>3.6532245447780673E-3</v>
      </c>
      <c r="Z75" s="17">
        <f t="shared" si="213"/>
        <v>9.2173264959345223E-3</v>
      </c>
      <c r="AA75" s="17">
        <f t="shared" si="214"/>
        <v>2.3330197373165801E-2</v>
      </c>
      <c r="AB75" s="17">
        <f t="shared" si="215"/>
        <v>5.9081063435972983E-2</v>
      </c>
      <c r="AC75" s="17">
        <f t="shared" si="216"/>
        <v>0.14962768393404641</v>
      </c>
      <c r="AD75" s="17">
        <f t="shared" si="217"/>
        <v>0.37894908858022486</v>
      </c>
      <c r="AE75" s="17">
        <f t="shared" si="218"/>
        <v>0.95973338156478072</v>
      </c>
      <c r="AF75" s="17">
        <f t="shared" si="219"/>
        <v>2.4306390034679204</v>
      </c>
      <c r="AG75" s="17">
        <f t="shared" si="220"/>
        <v>6.1558828212152665</v>
      </c>
      <c r="AH75" s="17">
        <f t="shared" si="221"/>
        <v>15.590506663395324</v>
      </c>
      <c r="AI75" s="17">
        <f t="shared" si="222"/>
        <v>39.484815639283283</v>
      </c>
      <c r="AJ75" s="16">
        <f t="shared" si="164"/>
        <v>100</v>
      </c>
      <c r="AN75" s="35"/>
      <c r="AO75" s="24">
        <f t="shared" si="165"/>
        <v>-1076400000</v>
      </c>
      <c r="AP75" s="20">
        <f t="shared" si="166"/>
        <v>-425014555.52910089</v>
      </c>
      <c r="AQ75" s="20">
        <f t="shared" si="167"/>
        <v>-167816213.68923482</v>
      </c>
      <c r="AR75" s="20">
        <f t="shared" si="168"/>
        <v>-66261922.59562704</v>
      </c>
      <c r="AS75" s="20">
        <f t="shared" si="169"/>
        <v>-26163397.999747083</v>
      </c>
      <c r="AT75" s="20">
        <f t="shared" si="170"/>
        <v>-10330569.527294876</v>
      </c>
      <c r="AU75" s="20">
        <f t="shared" si="171"/>
        <v>-4079006.4903836981</v>
      </c>
      <c r="AV75" s="20">
        <f t="shared" si="172"/>
        <v>-1610588.5931862965</v>
      </c>
      <c r="AW75" s="20">
        <f t="shared" si="173"/>
        <v>-635938.95126274938</v>
      </c>
      <c r="AX75" s="20">
        <f t="shared" si="174"/>
        <v>-251101.89196101492</v>
      </c>
      <c r="AY75" s="20">
        <f t="shared" si="175"/>
        <v>-99153.62663025748</v>
      </c>
      <c r="AZ75" s="20">
        <f t="shared" si="176"/>
        <v>-39167.107758002843</v>
      </c>
      <c r="BA75" s="20">
        <f t="shared" si="177"/>
        <v>-15506.800599472585</v>
      </c>
      <c r="BB75" s="20">
        <f t="shared" si="178"/>
        <v>-6228.543937480521</v>
      </c>
      <c r="BC75" s="20">
        <f t="shared" si="179"/>
        <v>-2727.0581092991665</v>
      </c>
      <c r="BD75" s="20">
        <f t="shared" si="180"/>
        <v>-1754.8295049624628</v>
      </c>
      <c r="BE75" s="20">
        <f t="shared" si="181"/>
        <v>-2410.1478850142512</v>
      </c>
      <c r="BF75" s="20">
        <f t="shared" si="182"/>
        <v>-5300.7996185869861</v>
      </c>
      <c r="BG75" s="20">
        <f t="shared" si="183"/>
        <v>-13107.769666663704</v>
      </c>
      <c r="BH75" s="20">
        <f t="shared" si="184"/>
        <v>-33071.767467413069</v>
      </c>
      <c r="BI75" s="20">
        <f t="shared" si="185"/>
        <v>-83708.748174918903</v>
      </c>
      <c r="BJ75" s="20">
        <f t="shared" si="186"/>
        <v>-211982.85560827106</v>
      </c>
      <c r="BK75" s="20">
        <f t="shared" si="187"/>
        <v>-536864.12995535857</v>
      </c>
      <c r="BL75" s="20">
        <f t="shared" si="188"/>
        <v>-1359669.3298258467</v>
      </c>
      <c r="BM75" s="20">
        <f t="shared" si="189"/>
        <v>-3443523.3730544331</v>
      </c>
      <c r="BN75" s="20">
        <f t="shared" si="190"/>
        <v>-8721132.7444428988</v>
      </c>
      <c r="BO75" s="20">
        <f t="shared" si="191"/>
        <v>-22087307.562520377</v>
      </c>
      <c r="BP75" s="20">
        <f t="shared" si="192"/>
        <v>-55938737.908262424</v>
      </c>
      <c r="BQ75" s="20">
        <f t="shared" si="193"/>
        <v>-141671518.51374844</v>
      </c>
      <c r="BR75" s="24">
        <f t="shared" si="194"/>
        <v>-358800000</v>
      </c>
      <c r="BU75" s="37"/>
      <c r="BV75" s="24">
        <f t="shared" si="102"/>
        <v>0.39484815638014015</v>
      </c>
      <c r="BW75" s="20">
        <f t="shared" si="103"/>
        <v>0.39484815638014015</v>
      </c>
      <c r="BX75" s="20">
        <f t="shared" si="104"/>
        <v>0.39484815638014015</v>
      </c>
      <c r="BY75" s="20">
        <f t="shared" si="105"/>
        <v>0.39484815638014015</v>
      </c>
      <c r="BZ75" s="20">
        <f t="shared" si="106"/>
        <v>0.39484815638014015</v>
      </c>
      <c r="CA75" s="20">
        <f t="shared" si="107"/>
        <v>0.39484815638014015</v>
      </c>
      <c r="CB75" s="20">
        <f t="shared" si="108"/>
        <v>0.39484815638014015</v>
      </c>
      <c r="CC75" s="20">
        <f t="shared" si="109"/>
        <v>0.39484815638014015</v>
      </c>
      <c r="CD75" s="20">
        <f t="shared" si="110"/>
        <v>0.39484815638014015</v>
      </c>
      <c r="CE75" s="20">
        <f t="shared" si="111"/>
        <v>0.39484815638014015</v>
      </c>
      <c r="CF75" s="20">
        <f t="shared" si="112"/>
        <v>0.39484815638014015</v>
      </c>
      <c r="CG75" s="20">
        <f t="shared" si="113"/>
        <v>0.39484815638014015</v>
      </c>
      <c r="CH75" s="20">
        <f t="shared" si="114"/>
        <v>0.39484815638014015</v>
      </c>
      <c r="CI75" s="20">
        <f t="shared" si="115"/>
        <v>0.39484815638014015</v>
      </c>
      <c r="CJ75" s="20">
        <f t="shared" si="116"/>
        <v>0.39484815638014015</v>
      </c>
      <c r="CK75" s="20">
        <f t="shared" si="117"/>
        <v>0.39484815638014015</v>
      </c>
      <c r="CL75" s="20">
        <f t="shared" si="118"/>
        <v>0.39484815638014015</v>
      </c>
      <c r="CM75" s="20">
        <f t="shared" si="119"/>
        <v>0.39484815638014015</v>
      </c>
      <c r="CN75" s="20">
        <f t="shared" si="120"/>
        <v>0.39484815638014015</v>
      </c>
      <c r="CO75" s="20">
        <f t="shared" si="121"/>
        <v>0.39484815638014015</v>
      </c>
      <c r="CP75" s="20">
        <f t="shared" si="122"/>
        <v>0.39484815638014015</v>
      </c>
      <c r="CQ75" s="20">
        <f t="shared" si="123"/>
        <v>0.39484815638014015</v>
      </c>
      <c r="CR75" s="20">
        <f t="shared" si="124"/>
        <v>0.39484815638014015</v>
      </c>
      <c r="CS75" s="20">
        <f t="shared" si="125"/>
        <v>0.39484815638014015</v>
      </c>
      <c r="CT75" s="20">
        <f t="shared" si="126"/>
        <v>0.39484815638014015</v>
      </c>
      <c r="CU75" s="20">
        <f t="shared" si="127"/>
        <v>0.39484815638014015</v>
      </c>
      <c r="CV75" s="20">
        <f t="shared" si="128"/>
        <v>0.39484815638014015</v>
      </c>
      <c r="CW75" s="20">
        <f t="shared" si="129"/>
        <v>0.39484815638014015</v>
      </c>
      <c r="CX75" s="20">
        <f t="shared" si="130"/>
        <v>0.39484815638014015</v>
      </c>
      <c r="CY75" s="24">
        <f t="shared" si="131"/>
        <v>0.39484815638014015</v>
      </c>
      <c r="DB75" s="37"/>
      <c r="DC75" s="24">
        <f t="shared" si="132"/>
        <v>181.54555308595795</v>
      </c>
      <c r="DD75" s="20">
        <f t="shared" si="133"/>
        <v>71.682926935259388</v>
      </c>
      <c r="DE75" s="20">
        <f t="shared" si="134"/>
        <v>28.303871544967894</v>
      </c>
      <c r="DF75" s="20">
        <f t="shared" si="135"/>
        <v>11.17573149959313</v>
      </c>
      <c r="DG75" s="20">
        <f t="shared" si="136"/>
        <v>4.4127169829729933</v>
      </c>
      <c r="DH75" s="20">
        <f t="shared" si="137"/>
        <v>1.7423531758878588</v>
      </c>
      <c r="DI75" s="20">
        <f t="shared" si="138"/>
        <v>0.68796496594009726</v>
      </c>
      <c r="DJ75" s="20">
        <f t="shared" si="139"/>
        <v>0.27164176602001217</v>
      </c>
      <c r="DK75" s="20">
        <f t="shared" si="140"/>
        <v>0.10725742162383863</v>
      </c>
      <c r="DL75" s="20">
        <f t="shared" si="141"/>
        <v>4.2350828555363165E-2</v>
      </c>
      <c r="DM75" s="20">
        <f t="shared" si="142"/>
        <v>1.6723244135143683E-2</v>
      </c>
      <c r="DN75" s="20">
        <f t="shared" si="143"/>
        <v>6.6059218141062259E-3</v>
      </c>
      <c r="DO75" s="20">
        <f t="shared" si="144"/>
        <v>2.6153759675073525E-3</v>
      </c>
      <c r="DP75" s="20">
        <f t="shared" si="145"/>
        <v>1.0505058101543028E-3</v>
      </c>
      <c r="DQ75" s="20">
        <f t="shared" si="146"/>
        <v>4.5994544105375695E-4</v>
      </c>
      <c r="DR75" s="20">
        <f t="shared" si="147"/>
        <v>2.959694286974806E-4</v>
      </c>
      <c r="DS75" s="20">
        <f t="shared" si="148"/>
        <v>4.0649538350414721E-4</v>
      </c>
      <c r="DT75" s="20">
        <f t="shared" si="149"/>
        <v>8.9403251445021301E-4</v>
      </c>
      <c r="DU75" s="20">
        <f t="shared" si="150"/>
        <v>2.2107555684297707E-3</v>
      </c>
      <c r="DV75" s="20">
        <f t="shared" si="151"/>
        <v>5.5778821222609585E-3</v>
      </c>
      <c r="DW75" s="20">
        <f t="shared" si="152"/>
        <v>1.4118311952386496E-2</v>
      </c>
      <c r="DX75" s="20">
        <f t="shared" si="153"/>
        <v>3.5753014461300942E-2</v>
      </c>
      <c r="DY75" s="20">
        <f t="shared" si="154"/>
        <v>9.0547468789257873E-2</v>
      </c>
      <c r="DZ75" s="20">
        <f t="shared" si="155"/>
        <v>0.22932173959238866</v>
      </c>
      <c r="EA75" s="20">
        <f t="shared" si="156"/>
        <v>0.58078442523744944</v>
      </c>
      <c r="EB75" s="20">
        <f t="shared" si="157"/>
        <v>1.4709056741229509</v>
      </c>
      <c r="EC75" s="20">
        <f t="shared" si="158"/>
        <v>3.725243838366243</v>
      </c>
      <c r="ED75" s="20">
        <f t="shared" si="159"/>
        <v>9.4346238503213904</v>
      </c>
      <c r="EE75" s="20">
        <f t="shared" si="160"/>
        <v>23.894308979102554</v>
      </c>
      <c r="EF75" s="24">
        <f t="shared" si="161"/>
        <v>60.51518436198598</v>
      </c>
    </row>
    <row r="76" spans="6:136" ht="15" customHeight="1" x14ac:dyDescent="0.25">
      <c r="F76" s="38"/>
      <c r="G76" s="16">
        <f t="shared" si="162"/>
        <v>300</v>
      </c>
      <c r="H76" s="17">
        <f t="shared" si="195"/>
        <v>118.45444691446512</v>
      </c>
      <c r="I76" s="17">
        <f t="shared" si="196"/>
        <v>46.771519980277262</v>
      </c>
      <c r="J76" s="17">
        <f t="shared" si="197"/>
        <v>18.467648438023144</v>
      </c>
      <c r="K76" s="17">
        <f t="shared" si="198"/>
        <v>7.2919169453029768</v>
      </c>
      <c r="L76" s="17">
        <f t="shared" si="199"/>
        <v>2.8791999797365868</v>
      </c>
      <c r="M76" s="17">
        <f t="shared" si="200"/>
        <v>1.1368468479330263</v>
      </c>
      <c r="N76" s="17">
        <f t="shared" si="201"/>
        <v>0.44888199364166564</v>
      </c>
      <c r="O76" s="17">
        <f t="shared" si="202"/>
        <v>0.17724051038538166</v>
      </c>
      <c r="P76" s="17">
        <f t="shared" si="203"/>
        <v>6.998380489437428E-2</v>
      </c>
      <c r="Q76" s="17">
        <f t="shared" si="204"/>
        <v>2.7634790030729505E-2</v>
      </c>
      <c r="R76" s="17">
        <f t="shared" si="205"/>
        <v>1.0916139285953971E-2</v>
      </c>
      <c r="S76" s="17">
        <f t="shared" si="206"/>
        <v>4.321850780232046E-3</v>
      </c>
      <c r="T76" s="17">
        <f t="shared" si="207"/>
        <v>1.7359375522520962E-3</v>
      </c>
      <c r="U76" s="17">
        <f t="shared" si="208"/>
        <v>7.600496402729004E-4</v>
      </c>
      <c r="V76" s="17">
        <f t="shared" si="209"/>
        <v>4.8908291665620478E-4</v>
      </c>
      <c r="W76" s="17">
        <f t="shared" si="210"/>
        <v>6.7172460563384934E-4</v>
      </c>
      <c r="X76" s="17">
        <f t="shared" si="211"/>
        <v>1.4773689015013896E-3</v>
      </c>
      <c r="Y76" s="17">
        <f t="shared" si="212"/>
        <v>3.6532245447780673E-3</v>
      </c>
      <c r="Z76" s="17">
        <f t="shared" si="213"/>
        <v>9.2173264959345223E-3</v>
      </c>
      <c r="AA76" s="17">
        <f t="shared" si="214"/>
        <v>2.3330197373165801E-2</v>
      </c>
      <c r="AB76" s="17">
        <f t="shared" si="215"/>
        <v>5.9081063435972983E-2</v>
      </c>
      <c r="AC76" s="17">
        <f t="shared" si="216"/>
        <v>0.14962768393404641</v>
      </c>
      <c r="AD76" s="17">
        <f t="shared" si="217"/>
        <v>0.37894908858022486</v>
      </c>
      <c r="AE76" s="17">
        <f t="shared" si="218"/>
        <v>0.95973338156478072</v>
      </c>
      <c r="AF76" s="17">
        <f t="shared" si="219"/>
        <v>2.4306390034679204</v>
      </c>
      <c r="AG76" s="17">
        <f t="shared" si="220"/>
        <v>6.1558828212152665</v>
      </c>
      <c r="AH76" s="17">
        <f t="shared" si="221"/>
        <v>15.590506663395324</v>
      </c>
      <c r="AI76" s="17">
        <f t="shared" si="222"/>
        <v>39.484815639283283</v>
      </c>
      <c r="AJ76" s="16">
        <f t="shared" si="164"/>
        <v>100</v>
      </c>
      <c r="AN76" s="35"/>
      <c r="AO76" s="24">
        <f t="shared" si="165"/>
        <v>-1076400000</v>
      </c>
      <c r="AP76" s="20">
        <f t="shared" si="166"/>
        <v>-425014555.52910089</v>
      </c>
      <c r="AQ76" s="20">
        <f t="shared" si="167"/>
        <v>-167816213.68923482</v>
      </c>
      <c r="AR76" s="20">
        <f t="shared" si="168"/>
        <v>-66261922.59562704</v>
      </c>
      <c r="AS76" s="20">
        <f t="shared" si="169"/>
        <v>-26163397.999747083</v>
      </c>
      <c r="AT76" s="20">
        <f t="shared" si="170"/>
        <v>-10330569.527294876</v>
      </c>
      <c r="AU76" s="20">
        <f t="shared" si="171"/>
        <v>-4079006.4903836981</v>
      </c>
      <c r="AV76" s="20">
        <f t="shared" si="172"/>
        <v>-1610588.5931862965</v>
      </c>
      <c r="AW76" s="20">
        <f t="shared" si="173"/>
        <v>-635938.95126274938</v>
      </c>
      <c r="AX76" s="20">
        <f t="shared" si="174"/>
        <v>-251101.89196101492</v>
      </c>
      <c r="AY76" s="20">
        <f t="shared" si="175"/>
        <v>-99153.62663025748</v>
      </c>
      <c r="AZ76" s="20">
        <f t="shared" si="176"/>
        <v>-39167.107758002843</v>
      </c>
      <c r="BA76" s="20">
        <f t="shared" si="177"/>
        <v>-15506.800599472585</v>
      </c>
      <c r="BB76" s="20">
        <f t="shared" si="178"/>
        <v>-6228.543937480521</v>
      </c>
      <c r="BC76" s="20">
        <f t="shared" si="179"/>
        <v>-2727.0581092991665</v>
      </c>
      <c r="BD76" s="20">
        <f t="shared" si="180"/>
        <v>-1754.8295049624628</v>
      </c>
      <c r="BE76" s="20">
        <f t="shared" si="181"/>
        <v>-2410.1478850142512</v>
      </c>
      <c r="BF76" s="20">
        <f t="shared" si="182"/>
        <v>-5300.7996185869861</v>
      </c>
      <c r="BG76" s="20">
        <f t="shared" si="183"/>
        <v>-13107.769666663704</v>
      </c>
      <c r="BH76" s="20">
        <f t="shared" si="184"/>
        <v>-33071.767467413069</v>
      </c>
      <c r="BI76" s="20">
        <f t="shared" si="185"/>
        <v>-83708.748174918903</v>
      </c>
      <c r="BJ76" s="20">
        <f t="shared" si="186"/>
        <v>-211982.85560827106</v>
      </c>
      <c r="BK76" s="20">
        <f t="shared" si="187"/>
        <v>-536864.12995535857</v>
      </c>
      <c r="BL76" s="20">
        <f t="shared" si="188"/>
        <v>-1359669.3298258467</v>
      </c>
      <c r="BM76" s="20">
        <f t="shared" si="189"/>
        <v>-3443523.3730544331</v>
      </c>
      <c r="BN76" s="20">
        <f t="shared" si="190"/>
        <v>-8721132.7444428988</v>
      </c>
      <c r="BO76" s="20">
        <f t="shared" si="191"/>
        <v>-22087307.562520377</v>
      </c>
      <c r="BP76" s="20">
        <f t="shared" si="192"/>
        <v>-55938737.908262424</v>
      </c>
      <c r="BQ76" s="20">
        <f t="shared" si="193"/>
        <v>-141671518.51374844</v>
      </c>
      <c r="BR76" s="24">
        <f t="shared" si="194"/>
        <v>-358800000</v>
      </c>
      <c r="BU76" s="37"/>
      <c r="BV76" s="24">
        <f t="shared" si="102"/>
        <v>0.39484815638014015</v>
      </c>
      <c r="BW76" s="20">
        <f t="shared" si="103"/>
        <v>0.39484815638014015</v>
      </c>
      <c r="BX76" s="20">
        <f t="shared" si="104"/>
        <v>0.39484815638014015</v>
      </c>
      <c r="BY76" s="20">
        <f t="shared" si="105"/>
        <v>0.39484815638014015</v>
      </c>
      <c r="BZ76" s="20">
        <f t="shared" si="106"/>
        <v>0.39484815638014015</v>
      </c>
      <c r="CA76" s="20">
        <f t="shared" si="107"/>
        <v>0.39484815638014015</v>
      </c>
      <c r="CB76" s="20">
        <f t="shared" si="108"/>
        <v>0.39484815638014015</v>
      </c>
      <c r="CC76" s="20">
        <f t="shared" si="109"/>
        <v>0.39484815638014015</v>
      </c>
      <c r="CD76" s="20">
        <f t="shared" si="110"/>
        <v>0.39484815638014015</v>
      </c>
      <c r="CE76" s="20">
        <f t="shared" si="111"/>
        <v>0.39484815638014015</v>
      </c>
      <c r="CF76" s="20">
        <f t="shared" si="112"/>
        <v>0.39484815638014015</v>
      </c>
      <c r="CG76" s="20">
        <f t="shared" si="113"/>
        <v>0.39484815638014015</v>
      </c>
      <c r="CH76" s="20">
        <f t="shared" si="114"/>
        <v>0.39484815638014015</v>
      </c>
      <c r="CI76" s="20">
        <f t="shared" si="115"/>
        <v>0.39484815638014015</v>
      </c>
      <c r="CJ76" s="20">
        <f t="shared" si="116"/>
        <v>0.39484815638014015</v>
      </c>
      <c r="CK76" s="20">
        <f t="shared" si="117"/>
        <v>0.39484815638014015</v>
      </c>
      <c r="CL76" s="20">
        <f t="shared" si="118"/>
        <v>0.39484815638014015</v>
      </c>
      <c r="CM76" s="20">
        <f t="shared" si="119"/>
        <v>0.39484815638014015</v>
      </c>
      <c r="CN76" s="20">
        <f t="shared" si="120"/>
        <v>0.39484815638014015</v>
      </c>
      <c r="CO76" s="20">
        <f t="shared" si="121"/>
        <v>0.39484815638014015</v>
      </c>
      <c r="CP76" s="20">
        <f t="shared" si="122"/>
        <v>0.39484815638014015</v>
      </c>
      <c r="CQ76" s="20">
        <f t="shared" si="123"/>
        <v>0.39484815638014015</v>
      </c>
      <c r="CR76" s="20">
        <f t="shared" si="124"/>
        <v>0.39484815638014015</v>
      </c>
      <c r="CS76" s="20">
        <f t="shared" si="125"/>
        <v>0.39484815638014015</v>
      </c>
      <c r="CT76" s="20">
        <f t="shared" si="126"/>
        <v>0.39484815638014015</v>
      </c>
      <c r="CU76" s="20">
        <f t="shared" si="127"/>
        <v>0.39484815638014015</v>
      </c>
      <c r="CV76" s="20">
        <f t="shared" si="128"/>
        <v>0.39484815638014015</v>
      </c>
      <c r="CW76" s="20">
        <f t="shared" si="129"/>
        <v>0.39484815638014015</v>
      </c>
      <c r="CX76" s="20">
        <f t="shared" si="130"/>
        <v>0.39484815638014015</v>
      </c>
      <c r="CY76" s="24">
        <f t="shared" si="131"/>
        <v>0.39484815638014015</v>
      </c>
      <c r="DB76" s="37"/>
      <c r="DC76" s="24">
        <f t="shared" si="132"/>
        <v>181.54555308595795</v>
      </c>
      <c r="DD76" s="20">
        <f t="shared" si="133"/>
        <v>71.682926935259388</v>
      </c>
      <c r="DE76" s="20">
        <f t="shared" si="134"/>
        <v>28.303871544967894</v>
      </c>
      <c r="DF76" s="20">
        <f t="shared" si="135"/>
        <v>11.17573149959313</v>
      </c>
      <c r="DG76" s="20">
        <f t="shared" si="136"/>
        <v>4.4127169829729933</v>
      </c>
      <c r="DH76" s="20">
        <f t="shared" si="137"/>
        <v>1.7423531758878588</v>
      </c>
      <c r="DI76" s="20">
        <f t="shared" si="138"/>
        <v>0.68796496594009726</v>
      </c>
      <c r="DJ76" s="20">
        <f t="shared" si="139"/>
        <v>0.27164176602001217</v>
      </c>
      <c r="DK76" s="20">
        <f t="shared" si="140"/>
        <v>0.10725742162383863</v>
      </c>
      <c r="DL76" s="20">
        <f t="shared" si="141"/>
        <v>4.2350828555363165E-2</v>
      </c>
      <c r="DM76" s="20">
        <f t="shared" si="142"/>
        <v>1.6723244135143683E-2</v>
      </c>
      <c r="DN76" s="20">
        <f t="shared" si="143"/>
        <v>6.6059218141062259E-3</v>
      </c>
      <c r="DO76" s="20">
        <f t="shared" si="144"/>
        <v>2.6153759675073525E-3</v>
      </c>
      <c r="DP76" s="20">
        <f t="shared" si="145"/>
        <v>1.0505058101543028E-3</v>
      </c>
      <c r="DQ76" s="20">
        <f t="shared" si="146"/>
        <v>4.5994544105375695E-4</v>
      </c>
      <c r="DR76" s="20">
        <f t="shared" si="147"/>
        <v>2.959694286974806E-4</v>
      </c>
      <c r="DS76" s="20">
        <f t="shared" si="148"/>
        <v>4.0649538350414721E-4</v>
      </c>
      <c r="DT76" s="20">
        <f t="shared" si="149"/>
        <v>8.9403251445021301E-4</v>
      </c>
      <c r="DU76" s="20">
        <f t="shared" si="150"/>
        <v>2.2107555684297707E-3</v>
      </c>
      <c r="DV76" s="20">
        <f t="shared" si="151"/>
        <v>5.5778821222609585E-3</v>
      </c>
      <c r="DW76" s="20">
        <f t="shared" si="152"/>
        <v>1.4118311952386496E-2</v>
      </c>
      <c r="DX76" s="20">
        <f t="shared" si="153"/>
        <v>3.5753014461300942E-2</v>
      </c>
      <c r="DY76" s="20">
        <f t="shared" si="154"/>
        <v>9.0547468789257873E-2</v>
      </c>
      <c r="DZ76" s="20">
        <f t="shared" si="155"/>
        <v>0.22932173959238866</v>
      </c>
      <c r="EA76" s="20">
        <f t="shared" si="156"/>
        <v>0.58078442523744944</v>
      </c>
      <c r="EB76" s="20">
        <f t="shared" si="157"/>
        <v>1.4709056741229509</v>
      </c>
      <c r="EC76" s="20">
        <f t="shared" si="158"/>
        <v>3.725243838366243</v>
      </c>
      <c r="ED76" s="20">
        <f t="shared" si="159"/>
        <v>9.4346238503213904</v>
      </c>
      <c r="EE76" s="20">
        <f t="shared" si="160"/>
        <v>23.894308979102554</v>
      </c>
      <c r="EF76" s="24">
        <f t="shared" si="161"/>
        <v>60.51518436198598</v>
      </c>
    </row>
    <row r="77" spans="6:136" ht="15" customHeight="1" x14ac:dyDescent="0.25">
      <c r="F77" s="38"/>
      <c r="G77" s="16">
        <f t="shared" si="162"/>
        <v>300</v>
      </c>
      <c r="H77" s="17">
        <f t="shared" si="195"/>
        <v>118.45444691446512</v>
      </c>
      <c r="I77" s="17">
        <f t="shared" si="196"/>
        <v>46.771519980277262</v>
      </c>
      <c r="J77" s="17">
        <f t="shared" si="197"/>
        <v>18.467648438023144</v>
      </c>
      <c r="K77" s="17">
        <f t="shared" si="198"/>
        <v>7.2919169453029768</v>
      </c>
      <c r="L77" s="17">
        <f t="shared" si="199"/>
        <v>2.8791999797365868</v>
      </c>
      <c r="M77" s="17">
        <f t="shared" si="200"/>
        <v>1.1368468479330263</v>
      </c>
      <c r="N77" s="17">
        <f t="shared" si="201"/>
        <v>0.44888199364166564</v>
      </c>
      <c r="O77" s="17">
        <f t="shared" si="202"/>
        <v>0.17724051038538166</v>
      </c>
      <c r="P77" s="17">
        <f t="shared" si="203"/>
        <v>6.998380489437428E-2</v>
      </c>
      <c r="Q77" s="17">
        <f t="shared" si="204"/>
        <v>2.7634790030729505E-2</v>
      </c>
      <c r="R77" s="17">
        <f t="shared" si="205"/>
        <v>1.0916139285953971E-2</v>
      </c>
      <c r="S77" s="17">
        <f t="shared" si="206"/>
        <v>4.3218507802320468E-3</v>
      </c>
      <c r="T77" s="17">
        <f t="shared" si="207"/>
        <v>1.7359375522520962E-3</v>
      </c>
      <c r="U77" s="17">
        <f t="shared" si="208"/>
        <v>7.600496402729004E-4</v>
      </c>
      <c r="V77" s="17">
        <f t="shared" si="209"/>
        <v>4.8908291665620478E-4</v>
      </c>
      <c r="W77" s="17">
        <f t="shared" si="210"/>
        <v>6.7172460563384934E-4</v>
      </c>
      <c r="X77" s="17">
        <f t="shared" si="211"/>
        <v>1.4773689015013896E-3</v>
      </c>
      <c r="Y77" s="17">
        <f t="shared" si="212"/>
        <v>3.6532245447780673E-3</v>
      </c>
      <c r="Z77" s="17">
        <f t="shared" si="213"/>
        <v>9.2173264959345223E-3</v>
      </c>
      <c r="AA77" s="17">
        <f t="shared" si="214"/>
        <v>2.3330197373165801E-2</v>
      </c>
      <c r="AB77" s="17">
        <f t="shared" si="215"/>
        <v>5.9081063435972983E-2</v>
      </c>
      <c r="AC77" s="17">
        <f t="shared" si="216"/>
        <v>0.14962768393404641</v>
      </c>
      <c r="AD77" s="17">
        <f t="shared" si="217"/>
        <v>0.37894908858022486</v>
      </c>
      <c r="AE77" s="17">
        <f t="shared" si="218"/>
        <v>0.95973338156478072</v>
      </c>
      <c r="AF77" s="17">
        <f t="shared" si="219"/>
        <v>2.4306390034679204</v>
      </c>
      <c r="AG77" s="17">
        <f t="shared" si="220"/>
        <v>6.1558828212152665</v>
      </c>
      <c r="AH77" s="17">
        <f t="shared" si="221"/>
        <v>15.590506663395324</v>
      </c>
      <c r="AI77" s="17">
        <f t="shared" si="222"/>
        <v>39.484815639283283</v>
      </c>
      <c r="AJ77" s="16">
        <f t="shared" si="164"/>
        <v>100</v>
      </c>
      <c r="AN77" s="35"/>
      <c r="AO77" s="24">
        <f t="shared" si="165"/>
        <v>-1076400000</v>
      </c>
      <c r="AP77" s="20">
        <f t="shared" si="166"/>
        <v>-425014555.52910089</v>
      </c>
      <c r="AQ77" s="20">
        <f t="shared" si="167"/>
        <v>-167816213.68923482</v>
      </c>
      <c r="AR77" s="20">
        <f t="shared" si="168"/>
        <v>-66261922.59562704</v>
      </c>
      <c r="AS77" s="20">
        <f t="shared" si="169"/>
        <v>-26163397.999747083</v>
      </c>
      <c r="AT77" s="20">
        <f t="shared" si="170"/>
        <v>-10330569.527294876</v>
      </c>
      <c r="AU77" s="20">
        <f t="shared" si="171"/>
        <v>-4079006.4903836981</v>
      </c>
      <c r="AV77" s="20">
        <f t="shared" si="172"/>
        <v>-1610588.5931862965</v>
      </c>
      <c r="AW77" s="20">
        <f t="shared" si="173"/>
        <v>-635938.95126274938</v>
      </c>
      <c r="AX77" s="20">
        <f t="shared" si="174"/>
        <v>-251101.89196101492</v>
      </c>
      <c r="AY77" s="20">
        <f t="shared" si="175"/>
        <v>-99153.62663025748</v>
      </c>
      <c r="AZ77" s="20">
        <f t="shared" si="176"/>
        <v>-39167.107758002843</v>
      </c>
      <c r="BA77" s="20">
        <f t="shared" si="177"/>
        <v>-15506.800599472585</v>
      </c>
      <c r="BB77" s="20">
        <f t="shared" si="178"/>
        <v>-6228.543937480521</v>
      </c>
      <c r="BC77" s="20">
        <f t="shared" si="179"/>
        <v>-2727.0581092991665</v>
      </c>
      <c r="BD77" s="20">
        <f t="shared" si="180"/>
        <v>-1754.8295049624628</v>
      </c>
      <c r="BE77" s="20">
        <f t="shared" si="181"/>
        <v>-2410.1478850142512</v>
      </c>
      <c r="BF77" s="20">
        <f t="shared" si="182"/>
        <v>-5300.7996185869861</v>
      </c>
      <c r="BG77" s="20">
        <f t="shared" si="183"/>
        <v>-13107.769666663704</v>
      </c>
      <c r="BH77" s="20">
        <f t="shared" si="184"/>
        <v>-33071.767467413069</v>
      </c>
      <c r="BI77" s="20">
        <f t="shared" si="185"/>
        <v>-83708.748174918903</v>
      </c>
      <c r="BJ77" s="20">
        <f t="shared" si="186"/>
        <v>-211982.85560827106</v>
      </c>
      <c r="BK77" s="20">
        <f t="shared" si="187"/>
        <v>-536864.12995535857</v>
      </c>
      <c r="BL77" s="20">
        <f t="shared" si="188"/>
        <v>-1359669.3298258467</v>
      </c>
      <c r="BM77" s="20">
        <f t="shared" si="189"/>
        <v>-3443523.3730544331</v>
      </c>
      <c r="BN77" s="20">
        <f t="shared" si="190"/>
        <v>-8721132.7444428988</v>
      </c>
      <c r="BO77" s="20">
        <f t="shared" si="191"/>
        <v>-22087307.562520377</v>
      </c>
      <c r="BP77" s="20">
        <f t="shared" si="192"/>
        <v>-55938737.908262424</v>
      </c>
      <c r="BQ77" s="20">
        <f t="shared" si="193"/>
        <v>-141671518.51374844</v>
      </c>
      <c r="BR77" s="24">
        <f t="shared" si="194"/>
        <v>-358800000</v>
      </c>
      <c r="BU77" s="37"/>
      <c r="BV77" s="24">
        <f t="shared" si="102"/>
        <v>0.39484815638014015</v>
      </c>
      <c r="BW77" s="20">
        <f t="shared" si="103"/>
        <v>0.39484815638014015</v>
      </c>
      <c r="BX77" s="20">
        <f t="shared" si="104"/>
        <v>0.39484815638014015</v>
      </c>
      <c r="BY77" s="20">
        <f t="shared" si="105"/>
        <v>0.39484815638014015</v>
      </c>
      <c r="BZ77" s="20">
        <f t="shared" si="106"/>
        <v>0.39484815638014015</v>
      </c>
      <c r="CA77" s="20">
        <f t="shared" si="107"/>
        <v>0.39484815638014015</v>
      </c>
      <c r="CB77" s="20">
        <f t="shared" si="108"/>
        <v>0.39484815638014015</v>
      </c>
      <c r="CC77" s="20">
        <f t="shared" si="109"/>
        <v>0.39484815638014015</v>
      </c>
      <c r="CD77" s="20">
        <f t="shared" si="110"/>
        <v>0.39484815638014015</v>
      </c>
      <c r="CE77" s="20">
        <f t="shared" si="111"/>
        <v>0.39484815638014015</v>
      </c>
      <c r="CF77" s="20">
        <f t="shared" si="112"/>
        <v>0.39484815638014015</v>
      </c>
      <c r="CG77" s="20">
        <f t="shared" si="113"/>
        <v>0.39484815638014015</v>
      </c>
      <c r="CH77" s="20">
        <f t="shared" si="114"/>
        <v>0.39484815638014015</v>
      </c>
      <c r="CI77" s="20">
        <f t="shared" si="115"/>
        <v>0.39484815638014015</v>
      </c>
      <c r="CJ77" s="20">
        <f t="shared" si="116"/>
        <v>0.39484815638014015</v>
      </c>
      <c r="CK77" s="20">
        <f t="shared" si="117"/>
        <v>0.39484815638014015</v>
      </c>
      <c r="CL77" s="20">
        <f t="shared" si="118"/>
        <v>0.39484815638014015</v>
      </c>
      <c r="CM77" s="20">
        <f t="shared" si="119"/>
        <v>0.39484815638014015</v>
      </c>
      <c r="CN77" s="20">
        <f t="shared" si="120"/>
        <v>0.39484815638014015</v>
      </c>
      <c r="CO77" s="20">
        <f t="shared" si="121"/>
        <v>0.39484815638014015</v>
      </c>
      <c r="CP77" s="20">
        <f t="shared" si="122"/>
        <v>0.39484815638014015</v>
      </c>
      <c r="CQ77" s="20">
        <f t="shared" si="123"/>
        <v>0.39484815638014015</v>
      </c>
      <c r="CR77" s="20">
        <f t="shared" si="124"/>
        <v>0.39484815638014015</v>
      </c>
      <c r="CS77" s="20">
        <f t="shared" si="125"/>
        <v>0.39484815638014015</v>
      </c>
      <c r="CT77" s="20">
        <f t="shared" si="126"/>
        <v>0.39484815638014015</v>
      </c>
      <c r="CU77" s="20">
        <f t="shared" si="127"/>
        <v>0.39484815638014015</v>
      </c>
      <c r="CV77" s="20">
        <f t="shared" si="128"/>
        <v>0.39484815638014015</v>
      </c>
      <c r="CW77" s="20">
        <f t="shared" si="129"/>
        <v>0.39484815638014015</v>
      </c>
      <c r="CX77" s="20">
        <f t="shared" si="130"/>
        <v>0.39484815638014015</v>
      </c>
      <c r="CY77" s="24">
        <f t="shared" si="131"/>
        <v>0.39484815638014015</v>
      </c>
      <c r="DB77" s="37"/>
      <c r="DC77" s="24">
        <f t="shared" si="132"/>
        <v>181.54555308595795</v>
      </c>
      <c r="DD77" s="20">
        <f t="shared" si="133"/>
        <v>71.682926935259388</v>
      </c>
      <c r="DE77" s="20">
        <f t="shared" si="134"/>
        <v>28.303871544967894</v>
      </c>
      <c r="DF77" s="20">
        <f t="shared" si="135"/>
        <v>11.17573149959313</v>
      </c>
      <c r="DG77" s="20">
        <f t="shared" si="136"/>
        <v>4.4127169829729933</v>
      </c>
      <c r="DH77" s="20">
        <f t="shared" si="137"/>
        <v>1.7423531758878588</v>
      </c>
      <c r="DI77" s="20">
        <f t="shared" si="138"/>
        <v>0.68796496594009726</v>
      </c>
      <c r="DJ77" s="20">
        <f t="shared" si="139"/>
        <v>0.27164176602001217</v>
      </c>
      <c r="DK77" s="20">
        <f t="shared" si="140"/>
        <v>0.10725742162383863</v>
      </c>
      <c r="DL77" s="20">
        <f t="shared" si="141"/>
        <v>4.2350828555363165E-2</v>
      </c>
      <c r="DM77" s="20">
        <f t="shared" si="142"/>
        <v>1.6723244135143683E-2</v>
      </c>
      <c r="DN77" s="20">
        <f t="shared" si="143"/>
        <v>6.6059218141062259E-3</v>
      </c>
      <c r="DO77" s="20">
        <f t="shared" si="144"/>
        <v>2.615375967507353E-3</v>
      </c>
      <c r="DP77" s="20">
        <f t="shared" si="145"/>
        <v>1.0505058101543028E-3</v>
      </c>
      <c r="DQ77" s="20">
        <f t="shared" si="146"/>
        <v>4.5994544105375695E-4</v>
      </c>
      <c r="DR77" s="20">
        <f t="shared" si="147"/>
        <v>2.959694286974806E-4</v>
      </c>
      <c r="DS77" s="20">
        <f t="shared" si="148"/>
        <v>4.0649538350414721E-4</v>
      </c>
      <c r="DT77" s="20">
        <f t="shared" si="149"/>
        <v>8.9403251445021301E-4</v>
      </c>
      <c r="DU77" s="20">
        <f t="shared" si="150"/>
        <v>2.2107555684297707E-3</v>
      </c>
      <c r="DV77" s="20">
        <f t="shared" si="151"/>
        <v>5.5778821222609585E-3</v>
      </c>
      <c r="DW77" s="20">
        <f t="shared" si="152"/>
        <v>1.4118311952386496E-2</v>
      </c>
      <c r="DX77" s="20">
        <f t="shared" si="153"/>
        <v>3.5753014461300942E-2</v>
      </c>
      <c r="DY77" s="20">
        <f t="shared" si="154"/>
        <v>9.0547468789257873E-2</v>
      </c>
      <c r="DZ77" s="20">
        <f t="shared" si="155"/>
        <v>0.22932173959238866</v>
      </c>
      <c r="EA77" s="20">
        <f t="shared" si="156"/>
        <v>0.58078442523744944</v>
      </c>
      <c r="EB77" s="20">
        <f t="shared" si="157"/>
        <v>1.4709056741229509</v>
      </c>
      <c r="EC77" s="20">
        <f t="shared" si="158"/>
        <v>3.725243838366243</v>
      </c>
      <c r="ED77" s="20">
        <f t="shared" si="159"/>
        <v>9.4346238503213904</v>
      </c>
      <c r="EE77" s="20">
        <f t="shared" si="160"/>
        <v>23.894308979102554</v>
      </c>
      <c r="EF77" s="24">
        <f t="shared" si="161"/>
        <v>60.51518436198598</v>
      </c>
    </row>
    <row r="78" spans="6:136" ht="15" customHeight="1" x14ac:dyDescent="0.25">
      <c r="F78" s="38"/>
      <c r="G78" s="16">
        <f t="shared" si="162"/>
        <v>300</v>
      </c>
      <c r="H78" s="17">
        <f t="shared" si="195"/>
        <v>118.45444691446514</v>
      </c>
      <c r="I78" s="17">
        <f t="shared" si="196"/>
        <v>46.771519980277262</v>
      </c>
      <c r="J78" s="17">
        <f t="shared" si="197"/>
        <v>18.467648438023144</v>
      </c>
      <c r="K78" s="17">
        <f t="shared" si="198"/>
        <v>7.2919169453029777</v>
      </c>
      <c r="L78" s="17">
        <f t="shared" si="199"/>
        <v>2.8791999797365868</v>
      </c>
      <c r="M78" s="17">
        <f t="shared" si="200"/>
        <v>1.1368468479330263</v>
      </c>
      <c r="N78" s="17">
        <f t="shared" si="201"/>
        <v>0.4488819936416657</v>
      </c>
      <c r="O78" s="17">
        <f t="shared" si="202"/>
        <v>0.17724051038538166</v>
      </c>
      <c r="P78" s="17">
        <f t="shared" si="203"/>
        <v>6.998380489437428E-2</v>
      </c>
      <c r="Q78" s="17">
        <f t="shared" si="204"/>
        <v>2.7634790030729509E-2</v>
      </c>
      <c r="R78" s="17">
        <f t="shared" si="205"/>
        <v>1.0916139285953971E-2</v>
      </c>
      <c r="S78" s="17">
        <f t="shared" si="206"/>
        <v>4.3218507802320477E-3</v>
      </c>
      <c r="T78" s="17">
        <f t="shared" si="207"/>
        <v>1.7359375522520964E-3</v>
      </c>
      <c r="U78" s="17">
        <f t="shared" si="208"/>
        <v>7.600496402729004E-4</v>
      </c>
      <c r="V78" s="17">
        <f t="shared" si="209"/>
        <v>4.8908291665620478E-4</v>
      </c>
      <c r="W78" s="17">
        <f t="shared" si="210"/>
        <v>6.7172460563384934E-4</v>
      </c>
      <c r="X78" s="17">
        <f t="shared" si="211"/>
        <v>1.4773689015013898E-3</v>
      </c>
      <c r="Y78" s="17">
        <f t="shared" si="212"/>
        <v>3.6532245447780673E-3</v>
      </c>
      <c r="Z78" s="17">
        <f t="shared" si="213"/>
        <v>9.217326495934524E-3</v>
      </c>
      <c r="AA78" s="17">
        <f t="shared" si="214"/>
        <v>2.3330197373165808E-2</v>
      </c>
      <c r="AB78" s="17">
        <f t="shared" si="215"/>
        <v>5.9081063435972983E-2</v>
      </c>
      <c r="AC78" s="17">
        <f t="shared" si="216"/>
        <v>0.14962768393404641</v>
      </c>
      <c r="AD78" s="17">
        <f t="shared" si="217"/>
        <v>0.37894908858022491</v>
      </c>
      <c r="AE78" s="17">
        <f t="shared" si="218"/>
        <v>0.95973338156478072</v>
      </c>
      <c r="AF78" s="17">
        <f t="shared" si="219"/>
        <v>2.4306390034679204</v>
      </c>
      <c r="AG78" s="17">
        <f t="shared" si="220"/>
        <v>6.1558828212152665</v>
      </c>
      <c r="AH78" s="17">
        <f t="shared" si="221"/>
        <v>15.590506663395324</v>
      </c>
      <c r="AI78" s="17">
        <f t="shared" si="222"/>
        <v>39.484815639283283</v>
      </c>
      <c r="AJ78" s="16">
        <f t="shared" si="164"/>
        <v>100</v>
      </c>
      <c r="AN78" s="35"/>
      <c r="AO78" s="24">
        <f t="shared" si="165"/>
        <v>-1076400000</v>
      </c>
      <c r="AP78" s="20">
        <f t="shared" si="166"/>
        <v>-425014555.52910089</v>
      </c>
      <c r="AQ78" s="20">
        <f t="shared" si="167"/>
        <v>-167816213.68923482</v>
      </c>
      <c r="AR78" s="20">
        <f t="shared" si="168"/>
        <v>-66261922.59562704</v>
      </c>
      <c r="AS78" s="20">
        <f t="shared" si="169"/>
        <v>-26163397.999747083</v>
      </c>
      <c r="AT78" s="20">
        <f t="shared" si="170"/>
        <v>-10330569.527294876</v>
      </c>
      <c r="AU78" s="20">
        <f t="shared" si="171"/>
        <v>-4079006.4903836981</v>
      </c>
      <c r="AV78" s="20">
        <f t="shared" si="172"/>
        <v>-1610588.5931862965</v>
      </c>
      <c r="AW78" s="20">
        <f t="shared" si="173"/>
        <v>-635938.95126274938</v>
      </c>
      <c r="AX78" s="20">
        <f t="shared" si="174"/>
        <v>-251101.89196101492</v>
      </c>
      <c r="AY78" s="20">
        <f t="shared" si="175"/>
        <v>-99153.62663025748</v>
      </c>
      <c r="AZ78" s="20">
        <f t="shared" si="176"/>
        <v>-39167.107758002843</v>
      </c>
      <c r="BA78" s="20">
        <f t="shared" si="177"/>
        <v>-15506.800599472585</v>
      </c>
      <c r="BB78" s="20">
        <f t="shared" si="178"/>
        <v>-6228.543937480521</v>
      </c>
      <c r="BC78" s="20">
        <f t="shared" si="179"/>
        <v>-2727.0581092991665</v>
      </c>
      <c r="BD78" s="20">
        <f t="shared" si="180"/>
        <v>-1754.8295049624628</v>
      </c>
      <c r="BE78" s="20">
        <f t="shared" si="181"/>
        <v>-2410.1478850142512</v>
      </c>
      <c r="BF78" s="20">
        <f t="shared" si="182"/>
        <v>-5300.7996185869861</v>
      </c>
      <c r="BG78" s="20">
        <f t="shared" si="183"/>
        <v>-13107.769666663704</v>
      </c>
      <c r="BH78" s="20">
        <f t="shared" si="184"/>
        <v>-33071.767467413069</v>
      </c>
      <c r="BI78" s="20">
        <f t="shared" si="185"/>
        <v>-83708.748174918903</v>
      </c>
      <c r="BJ78" s="20">
        <f t="shared" si="186"/>
        <v>-211982.85560827106</v>
      </c>
      <c r="BK78" s="20">
        <f t="shared" si="187"/>
        <v>-536864.12995535857</v>
      </c>
      <c r="BL78" s="20">
        <f t="shared" si="188"/>
        <v>-1359669.3298258467</v>
      </c>
      <c r="BM78" s="20">
        <f t="shared" si="189"/>
        <v>-3443523.3730544331</v>
      </c>
      <c r="BN78" s="20">
        <f t="shared" si="190"/>
        <v>-8721132.7444428988</v>
      </c>
      <c r="BO78" s="20">
        <f t="shared" si="191"/>
        <v>-22087307.562520377</v>
      </c>
      <c r="BP78" s="20">
        <f t="shared" si="192"/>
        <v>-55938737.908262424</v>
      </c>
      <c r="BQ78" s="20">
        <f t="shared" si="193"/>
        <v>-141671518.51374844</v>
      </c>
      <c r="BR78" s="24">
        <f t="shared" si="194"/>
        <v>-358800000</v>
      </c>
      <c r="BU78" s="37"/>
      <c r="BV78" s="24">
        <f t="shared" si="102"/>
        <v>0.3948481563801402</v>
      </c>
      <c r="BW78" s="20">
        <f t="shared" si="103"/>
        <v>0.3948481563801402</v>
      </c>
      <c r="BX78" s="20">
        <f t="shared" si="104"/>
        <v>0.3948481563801402</v>
      </c>
      <c r="BY78" s="20">
        <f t="shared" si="105"/>
        <v>0.3948481563801402</v>
      </c>
      <c r="BZ78" s="20">
        <f t="shared" si="106"/>
        <v>0.3948481563801402</v>
      </c>
      <c r="CA78" s="20">
        <f t="shared" si="107"/>
        <v>0.3948481563801402</v>
      </c>
      <c r="CB78" s="20">
        <f t="shared" si="108"/>
        <v>0.3948481563801402</v>
      </c>
      <c r="CC78" s="20">
        <f t="shared" si="109"/>
        <v>0.3948481563801402</v>
      </c>
      <c r="CD78" s="20">
        <f t="shared" si="110"/>
        <v>0.3948481563801402</v>
      </c>
      <c r="CE78" s="20">
        <f t="shared" si="111"/>
        <v>0.3948481563801402</v>
      </c>
      <c r="CF78" s="20">
        <f t="shared" si="112"/>
        <v>0.3948481563801402</v>
      </c>
      <c r="CG78" s="20">
        <f t="shared" si="113"/>
        <v>0.3948481563801402</v>
      </c>
      <c r="CH78" s="20">
        <f t="shared" si="114"/>
        <v>0.3948481563801402</v>
      </c>
      <c r="CI78" s="20">
        <f t="shared" si="115"/>
        <v>0.3948481563801402</v>
      </c>
      <c r="CJ78" s="20">
        <f t="shared" si="116"/>
        <v>0.3948481563801402</v>
      </c>
      <c r="CK78" s="20">
        <f t="shared" si="117"/>
        <v>0.3948481563801402</v>
      </c>
      <c r="CL78" s="20">
        <f t="shared" si="118"/>
        <v>0.3948481563801402</v>
      </c>
      <c r="CM78" s="20">
        <f t="shared" si="119"/>
        <v>0.3948481563801402</v>
      </c>
      <c r="CN78" s="20">
        <f t="shared" si="120"/>
        <v>0.3948481563801402</v>
      </c>
      <c r="CO78" s="20">
        <f t="shared" si="121"/>
        <v>0.3948481563801402</v>
      </c>
      <c r="CP78" s="20">
        <f t="shared" si="122"/>
        <v>0.3948481563801402</v>
      </c>
      <c r="CQ78" s="20">
        <f t="shared" si="123"/>
        <v>0.3948481563801402</v>
      </c>
      <c r="CR78" s="20">
        <f t="shared" si="124"/>
        <v>0.3948481563801402</v>
      </c>
      <c r="CS78" s="20">
        <f t="shared" si="125"/>
        <v>0.3948481563801402</v>
      </c>
      <c r="CT78" s="20">
        <f t="shared" si="126"/>
        <v>0.3948481563801402</v>
      </c>
      <c r="CU78" s="20">
        <f t="shared" si="127"/>
        <v>0.3948481563801402</v>
      </c>
      <c r="CV78" s="20">
        <f t="shared" si="128"/>
        <v>0.3948481563801402</v>
      </c>
      <c r="CW78" s="20">
        <f t="shared" si="129"/>
        <v>0.3948481563801402</v>
      </c>
      <c r="CX78" s="20">
        <f t="shared" si="130"/>
        <v>0.3948481563801402</v>
      </c>
      <c r="CY78" s="24">
        <f t="shared" si="131"/>
        <v>0.3948481563801402</v>
      </c>
      <c r="DB78" s="37"/>
      <c r="DC78" s="24">
        <f t="shared" si="132"/>
        <v>181.54555308595795</v>
      </c>
      <c r="DD78" s="20">
        <f t="shared" si="133"/>
        <v>71.682926935259388</v>
      </c>
      <c r="DE78" s="20">
        <f t="shared" si="134"/>
        <v>28.303871544967894</v>
      </c>
      <c r="DF78" s="20">
        <f t="shared" si="135"/>
        <v>11.17573149959313</v>
      </c>
      <c r="DG78" s="20">
        <f t="shared" si="136"/>
        <v>4.4127169829729933</v>
      </c>
      <c r="DH78" s="20">
        <f t="shared" si="137"/>
        <v>1.7423531758878588</v>
      </c>
      <c r="DI78" s="20">
        <f t="shared" si="138"/>
        <v>0.68796496594009726</v>
      </c>
      <c r="DJ78" s="20">
        <f t="shared" si="139"/>
        <v>0.27164176602001217</v>
      </c>
      <c r="DK78" s="20">
        <f t="shared" si="140"/>
        <v>0.10725742162383863</v>
      </c>
      <c r="DL78" s="20">
        <f t="shared" si="141"/>
        <v>4.2350828555363165E-2</v>
      </c>
      <c r="DM78" s="20">
        <f t="shared" si="142"/>
        <v>1.6723244135143686E-2</v>
      </c>
      <c r="DN78" s="20">
        <f t="shared" si="143"/>
        <v>6.605921814106225E-3</v>
      </c>
      <c r="DO78" s="20">
        <f t="shared" si="144"/>
        <v>2.6153759675073534E-3</v>
      </c>
      <c r="DP78" s="20">
        <f t="shared" si="145"/>
        <v>1.0505058101543028E-3</v>
      </c>
      <c r="DQ78" s="20">
        <f t="shared" si="146"/>
        <v>4.599454410537569E-4</v>
      </c>
      <c r="DR78" s="20">
        <f t="shared" si="147"/>
        <v>2.959694286974806E-4</v>
      </c>
      <c r="DS78" s="20">
        <f t="shared" si="148"/>
        <v>4.0649538350414716E-4</v>
      </c>
      <c r="DT78" s="20">
        <f t="shared" si="149"/>
        <v>8.9403251445021301E-4</v>
      </c>
      <c r="DU78" s="20">
        <f t="shared" si="150"/>
        <v>2.2107555684297703E-3</v>
      </c>
      <c r="DV78" s="20">
        <f t="shared" si="151"/>
        <v>5.5778821222609593E-3</v>
      </c>
      <c r="DW78" s="20">
        <f t="shared" si="152"/>
        <v>1.4118311952386499E-2</v>
      </c>
      <c r="DX78" s="20">
        <f t="shared" si="153"/>
        <v>3.5753014461300942E-2</v>
      </c>
      <c r="DY78" s="20">
        <f t="shared" si="154"/>
        <v>9.0547468789257873E-2</v>
      </c>
      <c r="DZ78" s="20">
        <f t="shared" si="155"/>
        <v>0.22932173959238866</v>
      </c>
      <c r="EA78" s="20">
        <f t="shared" si="156"/>
        <v>0.58078442523744944</v>
      </c>
      <c r="EB78" s="20">
        <f t="shared" si="157"/>
        <v>1.4709056741229509</v>
      </c>
      <c r="EC78" s="20">
        <f t="shared" si="158"/>
        <v>3.725243838366243</v>
      </c>
      <c r="ED78" s="20">
        <f t="shared" si="159"/>
        <v>9.4346238503213904</v>
      </c>
      <c r="EE78" s="20">
        <f t="shared" si="160"/>
        <v>23.894308979102554</v>
      </c>
      <c r="EF78" s="24">
        <f t="shared" si="161"/>
        <v>60.51518436198598</v>
      </c>
    </row>
    <row r="79" spans="6:136" ht="15" customHeight="1" x14ac:dyDescent="0.25">
      <c r="F79" s="38"/>
      <c r="G79" s="16">
        <f t="shared" si="162"/>
        <v>300</v>
      </c>
      <c r="H79" s="17">
        <f t="shared" si="195"/>
        <v>118.45444691446514</v>
      </c>
      <c r="I79" s="17">
        <f t="shared" si="196"/>
        <v>46.771519980277269</v>
      </c>
      <c r="J79" s="17">
        <f t="shared" si="197"/>
        <v>18.467648438023147</v>
      </c>
      <c r="K79" s="17">
        <f t="shared" si="198"/>
        <v>7.2919169453029786</v>
      </c>
      <c r="L79" s="17">
        <f t="shared" si="199"/>
        <v>2.8791999797365877</v>
      </c>
      <c r="M79" s="17">
        <f t="shared" si="200"/>
        <v>1.1368468479330263</v>
      </c>
      <c r="N79" s="17">
        <f t="shared" si="201"/>
        <v>0.44888199364166576</v>
      </c>
      <c r="O79" s="17">
        <f t="shared" si="202"/>
        <v>0.17724051038538169</v>
      </c>
      <c r="P79" s="17">
        <f t="shared" si="203"/>
        <v>6.9983804894374294E-2</v>
      </c>
      <c r="Q79" s="17">
        <f t="shared" si="204"/>
        <v>2.7634790030729516E-2</v>
      </c>
      <c r="R79" s="17">
        <f t="shared" si="205"/>
        <v>1.0916139285953971E-2</v>
      </c>
      <c r="S79" s="17">
        <f t="shared" si="206"/>
        <v>4.3218507802320486E-3</v>
      </c>
      <c r="T79" s="17">
        <f t="shared" si="207"/>
        <v>1.7359375522520964E-3</v>
      </c>
      <c r="U79" s="17">
        <f t="shared" si="208"/>
        <v>7.6004964027290051E-4</v>
      </c>
      <c r="V79" s="17">
        <f t="shared" si="209"/>
        <v>4.8908291665620488E-4</v>
      </c>
      <c r="W79" s="17">
        <f t="shared" si="210"/>
        <v>6.7172460563384934E-4</v>
      </c>
      <c r="X79" s="17">
        <f t="shared" si="211"/>
        <v>1.4773689015013898E-3</v>
      </c>
      <c r="Y79" s="17">
        <f t="shared" si="212"/>
        <v>3.6532245447780678E-3</v>
      </c>
      <c r="Z79" s="17">
        <f t="shared" si="213"/>
        <v>9.217326495934524E-3</v>
      </c>
      <c r="AA79" s="17">
        <f t="shared" si="214"/>
        <v>2.3330197373165808E-2</v>
      </c>
      <c r="AB79" s="17">
        <f t="shared" si="215"/>
        <v>5.9081063435972983E-2</v>
      </c>
      <c r="AC79" s="17">
        <f t="shared" si="216"/>
        <v>0.14962768393404646</v>
      </c>
      <c r="AD79" s="17">
        <f t="shared" si="217"/>
        <v>0.37894908858022491</v>
      </c>
      <c r="AE79" s="17">
        <f t="shared" si="218"/>
        <v>0.95973338156478083</v>
      </c>
      <c r="AF79" s="17">
        <f t="shared" si="219"/>
        <v>2.4306390034679208</v>
      </c>
      <c r="AG79" s="17">
        <f t="shared" si="220"/>
        <v>6.1558828212152683</v>
      </c>
      <c r="AH79" s="17">
        <f t="shared" si="221"/>
        <v>15.590506663395326</v>
      </c>
      <c r="AI79" s="17">
        <f t="shared" si="222"/>
        <v>39.484815639283291</v>
      </c>
      <c r="AJ79" s="16">
        <f t="shared" si="164"/>
        <v>100</v>
      </c>
      <c r="AN79" s="35"/>
      <c r="AO79" s="24">
        <f t="shared" si="165"/>
        <v>-1076400000</v>
      </c>
      <c r="AP79" s="20">
        <f t="shared" si="166"/>
        <v>-425014555.52910089</v>
      </c>
      <c r="AQ79" s="20">
        <f t="shared" si="167"/>
        <v>-167816213.68923482</v>
      </c>
      <c r="AR79" s="20">
        <f t="shared" si="168"/>
        <v>-66261922.59562704</v>
      </c>
      <c r="AS79" s="20">
        <f t="shared" si="169"/>
        <v>-26163397.999747083</v>
      </c>
      <c r="AT79" s="20">
        <f t="shared" si="170"/>
        <v>-10330569.527294876</v>
      </c>
      <c r="AU79" s="20">
        <f t="shared" si="171"/>
        <v>-4079006.4903836981</v>
      </c>
      <c r="AV79" s="20">
        <f t="shared" si="172"/>
        <v>-1610588.5931862965</v>
      </c>
      <c r="AW79" s="20">
        <f t="shared" si="173"/>
        <v>-635938.95126274938</v>
      </c>
      <c r="AX79" s="20">
        <f t="shared" si="174"/>
        <v>-251101.89196101492</v>
      </c>
      <c r="AY79" s="20">
        <f t="shared" si="175"/>
        <v>-99153.62663025748</v>
      </c>
      <c r="AZ79" s="20">
        <f t="shared" si="176"/>
        <v>-39167.107758002843</v>
      </c>
      <c r="BA79" s="20">
        <f t="shared" si="177"/>
        <v>-15506.800599472585</v>
      </c>
      <c r="BB79" s="20">
        <f t="shared" si="178"/>
        <v>-6228.543937480521</v>
      </c>
      <c r="BC79" s="20">
        <f t="shared" si="179"/>
        <v>-2727.0581092991665</v>
      </c>
      <c r="BD79" s="20">
        <f t="shared" si="180"/>
        <v>-1754.8295049624628</v>
      </c>
      <c r="BE79" s="20">
        <f t="shared" si="181"/>
        <v>-2410.1478850142512</v>
      </c>
      <c r="BF79" s="20">
        <f t="shared" si="182"/>
        <v>-5300.7996185869861</v>
      </c>
      <c r="BG79" s="20">
        <f t="shared" si="183"/>
        <v>-13107.769666663704</v>
      </c>
      <c r="BH79" s="20">
        <f t="shared" si="184"/>
        <v>-33071.767467413069</v>
      </c>
      <c r="BI79" s="20">
        <f t="shared" si="185"/>
        <v>-83708.748174918903</v>
      </c>
      <c r="BJ79" s="20">
        <f t="shared" si="186"/>
        <v>-211982.85560827106</v>
      </c>
      <c r="BK79" s="20">
        <f t="shared" si="187"/>
        <v>-536864.12995535857</v>
      </c>
      <c r="BL79" s="20">
        <f t="shared" si="188"/>
        <v>-1359669.3298258467</v>
      </c>
      <c r="BM79" s="20">
        <f t="shared" si="189"/>
        <v>-3443523.3730544331</v>
      </c>
      <c r="BN79" s="20">
        <f t="shared" si="190"/>
        <v>-8721132.7444428988</v>
      </c>
      <c r="BO79" s="20">
        <f t="shared" si="191"/>
        <v>-22087307.562520377</v>
      </c>
      <c r="BP79" s="20">
        <f t="shared" si="192"/>
        <v>-55938737.908262424</v>
      </c>
      <c r="BQ79" s="20">
        <f t="shared" si="193"/>
        <v>-141671518.51374844</v>
      </c>
      <c r="BR79" s="24">
        <f t="shared" si="194"/>
        <v>-358800000</v>
      </c>
      <c r="BU79" s="37"/>
      <c r="BV79" s="24">
        <f t="shared" si="102"/>
        <v>0.39484815638014059</v>
      </c>
      <c r="BW79" s="20">
        <f t="shared" si="103"/>
        <v>0.39484815638014059</v>
      </c>
      <c r="BX79" s="20">
        <f t="shared" si="104"/>
        <v>0.39484815638014059</v>
      </c>
      <c r="BY79" s="20">
        <f t="shared" si="105"/>
        <v>0.39484815638014059</v>
      </c>
      <c r="BZ79" s="20">
        <f t="shared" si="106"/>
        <v>0.39484815638014059</v>
      </c>
      <c r="CA79" s="20">
        <f t="shared" si="107"/>
        <v>0.39484815638014059</v>
      </c>
      <c r="CB79" s="20">
        <f t="shared" si="108"/>
        <v>0.39484815638014059</v>
      </c>
      <c r="CC79" s="20">
        <f t="shared" si="109"/>
        <v>0.39484815638014059</v>
      </c>
      <c r="CD79" s="20">
        <f t="shared" si="110"/>
        <v>0.39484815638014059</v>
      </c>
      <c r="CE79" s="20">
        <f t="shared" si="111"/>
        <v>0.39484815638014059</v>
      </c>
      <c r="CF79" s="20">
        <f t="shared" si="112"/>
        <v>0.39484815638014059</v>
      </c>
      <c r="CG79" s="20">
        <f t="shared" si="113"/>
        <v>0.39484815638014059</v>
      </c>
      <c r="CH79" s="20">
        <f t="shared" si="114"/>
        <v>0.39484815638014059</v>
      </c>
      <c r="CI79" s="20">
        <f t="shared" si="115"/>
        <v>0.39484815638014059</v>
      </c>
      <c r="CJ79" s="20">
        <f t="shared" si="116"/>
        <v>0.39484815638014059</v>
      </c>
      <c r="CK79" s="20">
        <f t="shared" si="117"/>
        <v>0.39484815638014059</v>
      </c>
      <c r="CL79" s="20">
        <f t="shared" si="118"/>
        <v>0.39484815638014059</v>
      </c>
      <c r="CM79" s="20">
        <f t="shared" si="119"/>
        <v>0.39484815638014059</v>
      </c>
      <c r="CN79" s="20">
        <f t="shared" si="120"/>
        <v>0.39484815638014059</v>
      </c>
      <c r="CO79" s="20">
        <f t="shared" si="121"/>
        <v>0.39484815638014059</v>
      </c>
      <c r="CP79" s="20">
        <f t="shared" si="122"/>
        <v>0.39484815638014059</v>
      </c>
      <c r="CQ79" s="20">
        <f t="shared" si="123"/>
        <v>0.39484815638014059</v>
      </c>
      <c r="CR79" s="20">
        <f t="shared" si="124"/>
        <v>0.39484815638014059</v>
      </c>
      <c r="CS79" s="20">
        <f t="shared" si="125"/>
        <v>0.39484815638014059</v>
      </c>
      <c r="CT79" s="20">
        <f t="shared" si="126"/>
        <v>0.39484815638014059</v>
      </c>
      <c r="CU79" s="20">
        <f t="shared" si="127"/>
        <v>0.39484815638014059</v>
      </c>
      <c r="CV79" s="20">
        <f t="shared" si="128"/>
        <v>0.39484815638014059</v>
      </c>
      <c r="CW79" s="20">
        <f t="shared" si="129"/>
        <v>0.39484815638014059</v>
      </c>
      <c r="CX79" s="20">
        <f t="shared" si="130"/>
        <v>0.39484815638014059</v>
      </c>
      <c r="CY79" s="24">
        <f t="shared" si="131"/>
        <v>0.39484815638014059</v>
      </c>
      <c r="DB79" s="37"/>
      <c r="DC79" s="24">
        <f t="shared" si="132"/>
        <v>181.54555308595786</v>
      </c>
      <c r="DD79" s="20">
        <f t="shared" si="133"/>
        <v>71.682926935259346</v>
      </c>
      <c r="DE79" s="20">
        <f t="shared" si="134"/>
        <v>28.303871544967883</v>
      </c>
      <c r="DF79" s="20">
        <f t="shared" si="135"/>
        <v>11.175731499593125</v>
      </c>
      <c r="DG79" s="20">
        <f t="shared" si="136"/>
        <v>4.4127169829729915</v>
      </c>
      <c r="DH79" s="20">
        <f t="shared" si="137"/>
        <v>1.7423531758878581</v>
      </c>
      <c r="DI79" s="20">
        <f t="shared" si="138"/>
        <v>0.68796496594009693</v>
      </c>
      <c r="DJ79" s="20">
        <f t="shared" si="139"/>
        <v>0.27164176602001205</v>
      </c>
      <c r="DK79" s="20">
        <f t="shared" si="140"/>
        <v>0.10725742162383858</v>
      </c>
      <c r="DL79" s="20">
        <f t="shared" si="141"/>
        <v>4.2350828555363144E-2</v>
      </c>
      <c r="DM79" s="20">
        <f t="shared" si="142"/>
        <v>1.6723244135143679E-2</v>
      </c>
      <c r="DN79" s="20">
        <f t="shared" si="143"/>
        <v>6.6059218141062215E-3</v>
      </c>
      <c r="DO79" s="20">
        <f t="shared" si="144"/>
        <v>2.6153759675073521E-3</v>
      </c>
      <c r="DP79" s="20">
        <f t="shared" si="145"/>
        <v>1.0505058101543021E-3</v>
      </c>
      <c r="DQ79" s="20">
        <f t="shared" si="146"/>
        <v>4.5994544105375674E-4</v>
      </c>
      <c r="DR79" s="20">
        <f t="shared" si="147"/>
        <v>2.9596942869748044E-4</v>
      </c>
      <c r="DS79" s="20">
        <f t="shared" si="148"/>
        <v>4.0649538350414699E-4</v>
      </c>
      <c r="DT79" s="20">
        <f t="shared" si="149"/>
        <v>8.9403251445021258E-4</v>
      </c>
      <c r="DU79" s="20">
        <f t="shared" si="150"/>
        <v>2.2107555684297694E-3</v>
      </c>
      <c r="DV79" s="20">
        <f t="shared" si="151"/>
        <v>5.5778821222609567E-3</v>
      </c>
      <c r="DW79" s="20">
        <f t="shared" si="152"/>
        <v>1.4118311952386491E-2</v>
      </c>
      <c r="DX79" s="20">
        <f t="shared" si="153"/>
        <v>3.5753014461300921E-2</v>
      </c>
      <c r="DY79" s="20">
        <f t="shared" si="154"/>
        <v>9.0547468789257846E-2</v>
      </c>
      <c r="DZ79" s="20">
        <f t="shared" si="155"/>
        <v>0.22932173959238855</v>
      </c>
      <c r="EA79" s="20">
        <f t="shared" si="156"/>
        <v>0.58078442523744922</v>
      </c>
      <c r="EB79" s="20">
        <f t="shared" si="157"/>
        <v>1.4709056741229503</v>
      </c>
      <c r="EC79" s="20">
        <f t="shared" si="158"/>
        <v>3.7252438383662412</v>
      </c>
      <c r="ED79" s="20">
        <f t="shared" si="159"/>
        <v>9.4346238503213851</v>
      </c>
      <c r="EE79" s="20">
        <f t="shared" si="160"/>
        <v>23.894308979102544</v>
      </c>
      <c r="EF79" s="24">
        <f t="shared" si="161"/>
        <v>60.515184361985952</v>
      </c>
    </row>
    <row r="80" spans="6:136" ht="15" customHeight="1" x14ac:dyDescent="0.25">
      <c r="F80" s="38"/>
      <c r="G80" s="16">
        <f t="shared" si="162"/>
        <v>300</v>
      </c>
      <c r="H80" s="17">
        <f t="shared" si="195"/>
        <v>118.45444691446514</v>
      </c>
      <c r="I80" s="17">
        <f t="shared" si="196"/>
        <v>46.771519980277276</v>
      </c>
      <c r="J80" s="17">
        <f t="shared" si="197"/>
        <v>18.467648438023147</v>
      </c>
      <c r="K80" s="17">
        <f t="shared" si="198"/>
        <v>7.2919169453029786</v>
      </c>
      <c r="L80" s="17">
        <f t="shared" si="199"/>
        <v>2.8791999797365881</v>
      </c>
      <c r="M80" s="17">
        <f t="shared" si="200"/>
        <v>1.1368468479330263</v>
      </c>
      <c r="N80" s="17">
        <f t="shared" si="201"/>
        <v>0.44888199364166581</v>
      </c>
      <c r="O80" s="17">
        <f t="shared" si="202"/>
        <v>0.17724051038538169</v>
      </c>
      <c r="P80" s="17">
        <f t="shared" si="203"/>
        <v>6.9983804894374294E-2</v>
      </c>
      <c r="Q80" s="17">
        <f t="shared" si="204"/>
        <v>2.7634790030729516E-2</v>
      </c>
      <c r="R80" s="17">
        <f t="shared" si="205"/>
        <v>1.0916139285953971E-2</v>
      </c>
      <c r="S80" s="17">
        <f t="shared" si="206"/>
        <v>4.3218507802320477E-3</v>
      </c>
      <c r="T80" s="17">
        <f t="shared" si="207"/>
        <v>1.7359375522520964E-3</v>
      </c>
      <c r="U80" s="17">
        <f t="shared" si="208"/>
        <v>7.6004964027290051E-4</v>
      </c>
      <c r="V80" s="17">
        <f t="shared" si="209"/>
        <v>4.8908291665620488E-4</v>
      </c>
      <c r="W80" s="17">
        <f t="shared" si="210"/>
        <v>6.7172460563384934E-4</v>
      </c>
      <c r="X80" s="17">
        <f t="shared" si="211"/>
        <v>1.47736890150139E-3</v>
      </c>
      <c r="Y80" s="17">
        <f t="shared" si="212"/>
        <v>3.6532245447780682E-3</v>
      </c>
      <c r="Z80" s="17">
        <f t="shared" si="213"/>
        <v>9.217326495934524E-3</v>
      </c>
      <c r="AA80" s="17">
        <f t="shared" si="214"/>
        <v>2.3330197373165808E-2</v>
      </c>
      <c r="AB80" s="17">
        <f t="shared" si="215"/>
        <v>5.9081063435972983E-2</v>
      </c>
      <c r="AC80" s="17">
        <f t="shared" si="216"/>
        <v>0.14962768393404646</v>
      </c>
      <c r="AD80" s="17">
        <f t="shared" si="217"/>
        <v>0.37894908858022491</v>
      </c>
      <c r="AE80" s="17">
        <f t="shared" si="218"/>
        <v>0.95973338156478083</v>
      </c>
      <c r="AF80" s="17">
        <f t="shared" si="219"/>
        <v>2.4306390034679208</v>
      </c>
      <c r="AG80" s="17">
        <f t="shared" si="220"/>
        <v>6.1558828212152683</v>
      </c>
      <c r="AH80" s="17">
        <f t="shared" si="221"/>
        <v>15.590506663395326</v>
      </c>
      <c r="AI80" s="17">
        <f t="shared" si="222"/>
        <v>39.484815639283298</v>
      </c>
      <c r="AJ80" s="16">
        <f t="shared" si="164"/>
        <v>100</v>
      </c>
      <c r="AN80" s="35"/>
      <c r="AO80" s="24">
        <f t="shared" si="165"/>
        <v>-1076400000</v>
      </c>
      <c r="AP80" s="20">
        <f t="shared" si="166"/>
        <v>-425014555.52910089</v>
      </c>
      <c r="AQ80" s="20">
        <f t="shared" si="167"/>
        <v>-167816213.68923482</v>
      </c>
      <c r="AR80" s="20">
        <f t="shared" si="168"/>
        <v>-66261922.59562704</v>
      </c>
      <c r="AS80" s="20">
        <f t="shared" si="169"/>
        <v>-26163397.999747083</v>
      </c>
      <c r="AT80" s="20">
        <f t="shared" si="170"/>
        <v>-10330569.527294876</v>
      </c>
      <c r="AU80" s="20">
        <f t="shared" si="171"/>
        <v>-4079006.4903836981</v>
      </c>
      <c r="AV80" s="20">
        <f t="shared" si="172"/>
        <v>-1610588.5931862965</v>
      </c>
      <c r="AW80" s="20">
        <f t="shared" si="173"/>
        <v>-635938.95126274938</v>
      </c>
      <c r="AX80" s="20">
        <f t="shared" si="174"/>
        <v>-251101.89196101492</v>
      </c>
      <c r="AY80" s="20">
        <f t="shared" si="175"/>
        <v>-99153.62663025748</v>
      </c>
      <c r="AZ80" s="20">
        <f t="shared" si="176"/>
        <v>-39167.107758002843</v>
      </c>
      <c r="BA80" s="20">
        <f t="shared" si="177"/>
        <v>-15506.800599472585</v>
      </c>
      <c r="BB80" s="20">
        <f t="shared" si="178"/>
        <v>-6228.543937480521</v>
      </c>
      <c r="BC80" s="20">
        <f t="shared" si="179"/>
        <v>-2727.0581092991665</v>
      </c>
      <c r="BD80" s="20">
        <f t="shared" si="180"/>
        <v>-1754.8295049624628</v>
      </c>
      <c r="BE80" s="20">
        <f t="shared" si="181"/>
        <v>-2410.1478850142512</v>
      </c>
      <c r="BF80" s="20">
        <f t="shared" si="182"/>
        <v>-5300.7996185869861</v>
      </c>
      <c r="BG80" s="20">
        <f t="shared" si="183"/>
        <v>-13107.769666663704</v>
      </c>
      <c r="BH80" s="20">
        <f t="shared" si="184"/>
        <v>-33071.767467413069</v>
      </c>
      <c r="BI80" s="20">
        <f t="shared" si="185"/>
        <v>-83708.748174918903</v>
      </c>
      <c r="BJ80" s="20">
        <f t="shared" si="186"/>
        <v>-211982.85560827106</v>
      </c>
      <c r="BK80" s="20">
        <f t="shared" si="187"/>
        <v>-536864.12995535857</v>
      </c>
      <c r="BL80" s="20">
        <f t="shared" si="188"/>
        <v>-1359669.3298258467</v>
      </c>
      <c r="BM80" s="20">
        <f t="shared" si="189"/>
        <v>-3443523.3730544331</v>
      </c>
      <c r="BN80" s="20">
        <f t="shared" si="190"/>
        <v>-8721132.7444428988</v>
      </c>
      <c r="BO80" s="20">
        <f t="shared" si="191"/>
        <v>-22087307.562520377</v>
      </c>
      <c r="BP80" s="20">
        <f t="shared" si="192"/>
        <v>-55938737.908262424</v>
      </c>
      <c r="BQ80" s="20">
        <f t="shared" si="193"/>
        <v>-141671518.51374844</v>
      </c>
      <c r="BR80" s="24">
        <f t="shared" si="194"/>
        <v>-358800000</v>
      </c>
      <c r="BU80" s="37"/>
      <c r="BV80" s="24">
        <f t="shared" si="102"/>
        <v>0.3948481563801427</v>
      </c>
      <c r="BW80" s="20">
        <f t="shared" si="103"/>
        <v>0.3948481563801427</v>
      </c>
      <c r="BX80" s="20">
        <f t="shared" si="104"/>
        <v>0.3948481563801427</v>
      </c>
      <c r="BY80" s="20">
        <f t="shared" si="105"/>
        <v>0.3948481563801427</v>
      </c>
      <c r="BZ80" s="20">
        <f t="shared" si="106"/>
        <v>0.3948481563801427</v>
      </c>
      <c r="CA80" s="20">
        <f t="shared" si="107"/>
        <v>0.3948481563801427</v>
      </c>
      <c r="CB80" s="20">
        <f t="shared" si="108"/>
        <v>0.3948481563801427</v>
      </c>
      <c r="CC80" s="20">
        <f t="shared" si="109"/>
        <v>0.3948481563801427</v>
      </c>
      <c r="CD80" s="20">
        <f t="shared" si="110"/>
        <v>0.3948481563801427</v>
      </c>
      <c r="CE80" s="20">
        <f t="shared" si="111"/>
        <v>0.3948481563801427</v>
      </c>
      <c r="CF80" s="20">
        <f t="shared" si="112"/>
        <v>0.3948481563801427</v>
      </c>
      <c r="CG80" s="20">
        <f t="shared" si="113"/>
        <v>0.3948481563801427</v>
      </c>
      <c r="CH80" s="20">
        <f t="shared" si="114"/>
        <v>0.3948481563801427</v>
      </c>
      <c r="CI80" s="20">
        <f t="shared" si="115"/>
        <v>0.3948481563801427</v>
      </c>
      <c r="CJ80" s="20">
        <f t="shared" si="116"/>
        <v>0.3948481563801427</v>
      </c>
      <c r="CK80" s="20">
        <f t="shared" si="117"/>
        <v>0.3948481563801427</v>
      </c>
      <c r="CL80" s="20">
        <f t="shared" si="118"/>
        <v>0.3948481563801427</v>
      </c>
      <c r="CM80" s="20">
        <f t="shared" si="119"/>
        <v>0.3948481563801427</v>
      </c>
      <c r="CN80" s="20">
        <f t="shared" si="120"/>
        <v>0.3948481563801427</v>
      </c>
      <c r="CO80" s="20">
        <f t="shared" si="121"/>
        <v>0.3948481563801427</v>
      </c>
      <c r="CP80" s="20">
        <f t="shared" si="122"/>
        <v>0.3948481563801427</v>
      </c>
      <c r="CQ80" s="20">
        <f t="shared" si="123"/>
        <v>0.3948481563801427</v>
      </c>
      <c r="CR80" s="20">
        <f t="shared" si="124"/>
        <v>0.3948481563801427</v>
      </c>
      <c r="CS80" s="20">
        <f t="shared" si="125"/>
        <v>0.3948481563801427</v>
      </c>
      <c r="CT80" s="20">
        <f t="shared" si="126"/>
        <v>0.3948481563801427</v>
      </c>
      <c r="CU80" s="20">
        <f t="shared" si="127"/>
        <v>0.3948481563801427</v>
      </c>
      <c r="CV80" s="20">
        <f t="shared" si="128"/>
        <v>0.3948481563801427</v>
      </c>
      <c r="CW80" s="20">
        <f t="shared" si="129"/>
        <v>0.3948481563801427</v>
      </c>
      <c r="CX80" s="20">
        <f t="shared" si="130"/>
        <v>0.3948481563801427</v>
      </c>
      <c r="CY80" s="24">
        <f t="shared" si="131"/>
        <v>0.3948481563801427</v>
      </c>
      <c r="DB80" s="37"/>
      <c r="DC80" s="24">
        <f t="shared" si="132"/>
        <v>181.54555308595724</v>
      </c>
      <c r="DD80" s="20">
        <f t="shared" si="133"/>
        <v>71.68292693525909</v>
      </c>
      <c r="DE80" s="20">
        <f t="shared" si="134"/>
        <v>28.303871544967784</v>
      </c>
      <c r="DF80" s="20">
        <f t="shared" si="135"/>
        <v>11.175731499593084</v>
      </c>
      <c r="DG80" s="20">
        <f t="shared" si="136"/>
        <v>4.4127169829729755</v>
      </c>
      <c r="DH80" s="20">
        <f t="shared" si="137"/>
        <v>1.7423531758878523</v>
      </c>
      <c r="DI80" s="20">
        <f t="shared" si="138"/>
        <v>0.68796496594009449</v>
      </c>
      <c r="DJ80" s="20">
        <f t="shared" si="139"/>
        <v>0.27164176602001111</v>
      </c>
      <c r="DK80" s="20">
        <f t="shared" si="140"/>
        <v>0.10725742162383821</v>
      </c>
      <c r="DL80" s="20">
        <f t="shared" si="141"/>
        <v>4.2350828555362999E-2</v>
      </c>
      <c r="DM80" s="20">
        <f t="shared" si="142"/>
        <v>1.672324413514362E-2</v>
      </c>
      <c r="DN80" s="20">
        <f t="shared" si="143"/>
        <v>6.6059218141061981E-3</v>
      </c>
      <c r="DO80" s="20">
        <f t="shared" si="144"/>
        <v>2.6153759675073425E-3</v>
      </c>
      <c r="DP80" s="20">
        <f t="shared" si="145"/>
        <v>1.0505058101542984E-3</v>
      </c>
      <c r="DQ80" s="20">
        <f t="shared" si="146"/>
        <v>4.5994544105375506E-4</v>
      </c>
      <c r="DR80" s="20">
        <f t="shared" si="147"/>
        <v>2.9596942869747941E-4</v>
      </c>
      <c r="DS80" s="20">
        <f t="shared" si="148"/>
        <v>4.0649538350414553E-4</v>
      </c>
      <c r="DT80" s="20">
        <f t="shared" si="149"/>
        <v>8.9403251445020955E-4</v>
      </c>
      <c r="DU80" s="20">
        <f t="shared" si="150"/>
        <v>2.210755568429762E-3</v>
      </c>
      <c r="DV80" s="20">
        <f t="shared" si="151"/>
        <v>5.5778821222609368E-3</v>
      </c>
      <c r="DW80" s="20">
        <f t="shared" si="152"/>
        <v>1.4118311952386442E-2</v>
      </c>
      <c r="DX80" s="20">
        <f t="shared" si="153"/>
        <v>3.5753014461300796E-2</v>
      </c>
      <c r="DY80" s="20">
        <f t="shared" si="154"/>
        <v>9.0547468789257526E-2</v>
      </c>
      <c r="DZ80" s="20">
        <f t="shared" si="155"/>
        <v>0.22932173959238772</v>
      </c>
      <c r="EA80" s="20">
        <f t="shared" si="156"/>
        <v>0.58078442523744711</v>
      </c>
      <c r="EB80" s="20">
        <f t="shared" si="157"/>
        <v>1.4709056741229452</v>
      </c>
      <c r="EC80" s="20">
        <f t="shared" si="158"/>
        <v>3.7252438383662283</v>
      </c>
      <c r="ED80" s="20">
        <f t="shared" si="159"/>
        <v>9.4346238503213513</v>
      </c>
      <c r="EE80" s="20">
        <f t="shared" si="160"/>
        <v>23.894308979102462</v>
      </c>
      <c r="EF80" s="24">
        <f t="shared" si="161"/>
        <v>60.515184361985739</v>
      </c>
    </row>
    <row r="81" spans="6:136" ht="15" customHeight="1" x14ac:dyDescent="0.25">
      <c r="F81" s="38"/>
      <c r="G81" s="16">
        <f t="shared" si="162"/>
        <v>300</v>
      </c>
      <c r="H81" s="17">
        <f t="shared" si="195"/>
        <v>118.45444691446512</v>
      </c>
      <c r="I81" s="17">
        <f t="shared" si="196"/>
        <v>46.771519980277269</v>
      </c>
      <c r="J81" s="17">
        <f t="shared" si="197"/>
        <v>18.467648438023147</v>
      </c>
      <c r="K81" s="17">
        <f t="shared" si="198"/>
        <v>7.2919169453029777</v>
      </c>
      <c r="L81" s="17">
        <f t="shared" si="199"/>
        <v>2.8791999797365877</v>
      </c>
      <c r="M81" s="17">
        <f t="shared" si="200"/>
        <v>1.1368468479330263</v>
      </c>
      <c r="N81" s="17">
        <f t="shared" si="201"/>
        <v>0.44888199364166576</v>
      </c>
      <c r="O81" s="17">
        <f t="shared" si="202"/>
        <v>0.17724051038538169</v>
      </c>
      <c r="P81" s="17">
        <f t="shared" si="203"/>
        <v>6.9983804894374294E-2</v>
      </c>
      <c r="Q81" s="17">
        <f t="shared" si="204"/>
        <v>2.7634790030729516E-2</v>
      </c>
      <c r="R81" s="17">
        <f t="shared" si="205"/>
        <v>1.0916139285953971E-2</v>
      </c>
      <c r="S81" s="17">
        <f t="shared" si="206"/>
        <v>4.3218507802320477E-3</v>
      </c>
      <c r="T81" s="17">
        <f t="shared" si="207"/>
        <v>1.7359375522520964E-3</v>
      </c>
      <c r="U81" s="17">
        <f t="shared" si="208"/>
        <v>7.6004964027290051E-4</v>
      </c>
      <c r="V81" s="17">
        <f t="shared" si="209"/>
        <v>4.8908291665620488E-4</v>
      </c>
      <c r="W81" s="17">
        <f t="shared" si="210"/>
        <v>6.7172460563384934E-4</v>
      </c>
      <c r="X81" s="17">
        <f t="shared" si="211"/>
        <v>1.4773689015013898E-3</v>
      </c>
      <c r="Y81" s="17">
        <f t="shared" si="212"/>
        <v>3.6532245447780678E-3</v>
      </c>
      <c r="Z81" s="17">
        <f t="shared" si="213"/>
        <v>9.217326495934524E-3</v>
      </c>
      <c r="AA81" s="17">
        <f t="shared" si="214"/>
        <v>2.3330197373165808E-2</v>
      </c>
      <c r="AB81" s="17">
        <f t="shared" si="215"/>
        <v>5.9081063435972997E-2</v>
      </c>
      <c r="AC81" s="17">
        <f t="shared" si="216"/>
        <v>0.14962768393404646</v>
      </c>
      <c r="AD81" s="17">
        <f t="shared" si="217"/>
        <v>0.37894908858022491</v>
      </c>
      <c r="AE81" s="17">
        <f t="shared" si="218"/>
        <v>0.95973338156478083</v>
      </c>
      <c r="AF81" s="17">
        <f t="shared" si="219"/>
        <v>2.4306390034679208</v>
      </c>
      <c r="AG81" s="17">
        <f t="shared" si="220"/>
        <v>6.1558828212152683</v>
      </c>
      <c r="AH81" s="17">
        <f t="shared" si="221"/>
        <v>15.590506663395328</v>
      </c>
      <c r="AI81" s="17">
        <f t="shared" si="222"/>
        <v>39.484815639283298</v>
      </c>
      <c r="AJ81" s="16">
        <f t="shared" si="164"/>
        <v>100</v>
      </c>
      <c r="AN81" s="35"/>
      <c r="AO81" s="24">
        <f t="shared" si="165"/>
        <v>-1076400000</v>
      </c>
      <c r="AP81" s="20">
        <f t="shared" si="166"/>
        <v>-425014555.52910089</v>
      </c>
      <c r="AQ81" s="20">
        <f t="shared" si="167"/>
        <v>-167816213.68923482</v>
      </c>
      <c r="AR81" s="20">
        <f t="shared" si="168"/>
        <v>-66261922.59562704</v>
      </c>
      <c r="AS81" s="20">
        <f t="shared" si="169"/>
        <v>-26163397.999747083</v>
      </c>
      <c r="AT81" s="20">
        <f t="shared" si="170"/>
        <v>-10330569.527294876</v>
      </c>
      <c r="AU81" s="20">
        <f t="shared" si="171"/>
        <v>-4079006.4903836981</v>
      </c>
      <c r="AV81" s="20">
        <f t="shared" si="172"/>
        <v>-1610588.5931862965</v>
      </c>
      <c r="AW81" s="20">
        <f t="shared" si="173"/>
        <v>-635938.95126274938</v>
      </c>
      <c r="AX81" s="20">
        <f t="shared" si="174"/>
        <v>-251101.89196101492</v>
      </c>
      <c r="AY81" s="20">
        <f t="shared" si="175"/>
        <v>-99153.62663025748</v>
      </c>
      <c r="AZ81" s="20">
        <f t="shared" si="176"/>
        <v>-39167.107758002843</v>
      </c>
      <c r="BA81" s="20">
        <f t="shared" si="177"/>
        <v>-15506.800599472585</v>
      </c>
      <c r="BB81" s="20">
        <f t="shared" si="178"/>
        <v>-6228.543937480521</v>
      </c>
      <c r="BC81" s="20">
        <f t="shared" si="179"/>
        <v>-2727.0581092991665</v>
      </c>
      <c r="BD81" s="20">
        <f t="shared" si="180"/>
        <v>-1754.8295049624628</v>
      </c>
      <c r="BE81" s="20">
        <f t="shared" si="181"/>
        <v>-2410.1478850142512</v>
      </c>
      <c r="BF81" s="20">
        <f t="shared" si="182"/>
        <v>-5300.7996185869861</v>
      </c>
      <c r="BG81" s="20">
        <f t="shared" si="183"/>
        <v>-13107.769666663704</v>
      </c>
      <c r="BH81" s="20">
        <f t="shared" si="184"/>
        <v>-33071.767467413069</v>
      </c>
      <c r="BI81" s="20">
        <f t="shared" si="185"/>
        <v>-83708.748174918903</v>
      </c>
      <c r="BJ81" s="20">
        <f t="shared" si="186"/>
        <v>-211982.85560827106</v>
      </c>
      <c r="BK81" s="20">
        <f t="shared" si="187"/>
        <v>-536864.12995535857</v>
      </c>
      <c r="BL81" s="20">
        <f t="shared" si="188"/>
        <v>-1359669.3298258467</v>
      </c>
      <c r="BM81" s="20">
        <f t="shared" si="189"/>
        <v>-3443523.3730544331</v>
      </c>
      <c r="BN81" s="20">
        <f t="shared" si="190"/>
        <v>-8721132.7444428988</v>
      </c>
      <c r="BO81" s="20">
        <f t="shared" si="191"/>
        <v>-22087307.562520377</v>
      </c>
      <c r="BP81" s="20">
        <f t="shared" si="192"/>
        <v>-55938737.908262424</v>
      </c>
      <c r="BQ81" s="20">
        <f t="shared" si="193"/>
        <v>-141671518.51374844</v>
      </c>
      <c r="BR81" s="24">
        <f t="shared" si="194"/>
        <v>-358800000</v>
      </c>
      <c r="BU81" s="37"/>
      <c r="BV81" s="24">
        <f t="shared" si="102"/>
        <v>0.39484815638015619</v>
      </c>
      <c r="BW81" s="20">
        <f t="shared" si="103"/>
        <v>0.39484815638015619</v>
      </c>
      <c r="BX81" s="20">
        <f t="shared" si="104"/>
        <v>0.39484815638015619</v>
      </c>
      <c r="BY81" s="20">
        <f t="shared" si="105"/>
        <v>0.39484815638015619</v>
      </c>
      <c r="BZ81" s="20">
        <f t="shared" si="106"/>
        <v>0.39484815638015619</v>
      </c>
      <c r="CA81" s="20">
        <f t="shared" si="107"/>
        <v>0.39484815638015619</v>
      </c>
      <c r="CB81" s="20">
        <f t="shared" si="108"/>
        <v>0.39484815638015619</v>
      </c>
      <c r="CC81" s="20">
        <f t="shared" si="109"/>
        <v>0.39484815638015619</v>
      </c>
      <c r="CD81" s="20">
        <f t="shared" si="110"/>
        <v>0.39484815638015619</v>
      </c>
      <c r="CE81" s="20">
        <f t="shared" si="111"/>
        <v>0.39484815638015619</v>
      </c>
      <c r="CF81" s="20">
        <f t="shared" si="112"/>
        <v>0.39484815638015619</v>
      </c>
      <c r="CG81" s="20">
        <f t="shared" si="113"/>
        <v>0.39484815638015619</v>
      </c>
      <c r="CH81" s="20">
        <f t="shared" si="114"/>
        <v>0.39484815638015619</v>
      </c>
      <c r="CI81" s="20">
        <f t="shared" si="115"/>
        <v>0.39484815638015619</v>
      </c>
      <c r="CJ81" s="20">
        <f t="shared" si="116"/>
        <v>0.39484815638015619</v>
      </c>
      <c r="CK81" s="20">
        <f t="shared" si="117"/>
        <v>0.39484815638015619</v>
      </c>
      <c r="CL81" s="20">
        <f t="shared" si="118"/>
        <v>0.39484815638015619</v>
      </c>
      <c r="CM81" s="20">
        <f t="shared" si="119"/>
        <v>0.39484815638015619</v>
      </c>
      <c r="CN81" s="20">
        <f t="shared" si="120"/>
        <v>0.39484815638015619</v>
      </c>
      <c r="CO81" s="20">
        <f t="shared" si="121"/>
        <v>0.39484815638015619</v>
      </c>
      <c r="CP81" s="20">
        <f t="shared" si="122"/>
        <v>0.39484815638015619</v>
      </c>
      <c r="CQ81" s="20">
        <f t="shared" si="123"/>
        <v>0.39484815638015619</v>
      </c>
      <c r="CR81" s="20">
        <f t="shared" si="124"/>
        <v>0.39484815638015619</v>
      </c>
      <c r="CS81" s="20">
        <f t="shared" si="125"/>
        <v>0.39484815638015619</v>
      </c>
      <c r="CT81" s="20">
        <f t="shared" si="126"/>
        <v>0.39484815638015619</v>
      </c>
      <c r="CU81" s="20">
        <f t="shared" si="127"/>
        <v>0.39484815638015619</v>
      </c>
      <c r="CV81" s="20">
        <f t="shared" si="128"/>
        <v>0.39484815638015619</v>
      </c>
      <c r="CW81" s="20">
        <f t="shared" si="129"/>
        <v>0.39484815638015619</v>
      </c>
      <c r="CX81" s="20">
        <f t="shared" si="130"/>
        <v>0.39484815638015619</v>
      </c>
      <c r="CY81" s="24">
        <f t="shared" si="131"/>
        <v>0.39484815638015619</v>
      </c>
      <c r="DB81" s="37"/>
      <c r="DC81" s="24">
        <f t="shared" si="132"/>
        <v>181.54555308595315</v>
      </c>
      <c r="DD81" s="20">
        <f t="shared" si="133"/>
        <v>71.682926935257484</v>
      </c>
      <c r="DE81" s="20">
        <f t="shared" si="134"/>
        <v>28.303871544967148</v>
      </c>
      <c r="DF81" s="20">
        <f t="shared" si="135"/>
        <v>11.175731499592835</v>
      </c>
      <c r="DG81" s="20">
        <f t="shared" si="136"/>
        <v>4.4127169829728761</v>
      </c>
      <c r="DH81" s="20">
        <f t="shared" si="137"/>
        <v>1.742353175887813</v>
      </c>
      <c r="DI81" s="20">
        <f t="shared" si="138"/>
        <v>0.68796496594007905</v>
      </c>
      <c r="DJ81" s="20">
        <f t="shared" si="139"/>
        <v>0.271641766020005</v>
      </c>
      <c r="DK81" s="20">
        <f t="shared" si="140"/>
        <v>0.10725742162383579</v>
      </c>
      <c r="DL81" s="20">
        <f t="shared" si="141"/>
        <v>4.2350828555362048E-2</v>
      </c>
      <c r="DM81" s="20">
        <f t="shared" si="142"/>
        <v>1.6723244135143246E-2</v>
      </c>
      <c r="DN81" s="20">
        <f t="shared" si="143"/>
        <v>6.6059218141060498E-3</v>
      </c>
      <c r="DO81" s="20">
        <f t="shared" si="144"/>
        <v>2.615375967507284E-3</v>
      </c>
      <c r="DP81" s="20">
        <f t="shared" si="145"/>
        <v>1.050505810154275E-3</v>
      </c>
      <c r="DQ81" s="20">
        <f t="shared" si="146"/>
        <v>4.5994544105374481E-4</v>
      </c>
      <c r="DR81" s="20">
        <f t="shared" si="147"/>
        <v>2.959694286974728E-4</v>
      </c>
      <c r="DS81" s="20">
        <f t="shared" si="148"/>
        <v>4.0649538350413642E-4</v>
      </c>
      <c r="DT81" s="20">
        <f t="shared" si="149"/>
        <v>8.9403251445018949E-4</v>
      </c>
      <c r="DU81" s="20">
        <f t="shared" si="150"/>
        <v>2.2107555684297122E-3</v>
      </c>
      <c r="DV81" s="20">
        <f t="shared" si="151"/>
        <v>5.5778821222608119E-3</v>
      </c>
      <c r="DW81" s="20">
        <f t="shared" si="152"/>
        <v>1.4118311952386126E-2</v>
      </c>
      <c r="DX81" s="20">
        <f t="shared" si="153"/>
        <v>3.5753014461300005E-2</v>
      </c>
      <c r="DY81" s="20">
        <f t="shared" si="154"/>
        <v>9.0547468789255486E-2</v>
      </c>
      <c r="DZ81" s="20">
        <f t="shared" si="155"/>
        <v>0.22932173959238258</v>
      </c>
      <c r="EA81" s="20">
        <f t="shared" si="156"/>
        <v>0.58078442523743412</v>
      </c>
      <c r="EB81" s="20">
        <f t="shared" si="157"/>
        <v>1.4709056741229123</v>
      </c>
      <c r="EC81" s="20">
        <f t="shared" si="158"/>
        <v>3.7252438383661444</v>
      </c>
      <c r="ED81" s="20">
        <f t="shared" si="159"/>
        <v>9.4346238503211417</v>
      </c>
      <c r="EE81" s="20">
        <f t="shared" si="160"/>
        <v>23.894308979101925</v>
      </c>
      <c r="EF81" s="24">
        <f t="shared" si="161"/>
        <v>60.515184361984382</v>
      </c>
    </row>
    <row r="82" spans="6:136" ht="15" customHeight="1" x14ac:dyDescent="0.25">
      <c r="F82" s="38"/>
      <c r="G82" s="16">
        <f t="shared" si="162"/>
        <v>300</v>
      </c>
      <c r="H82" s="17">
        <f t="shared" si="195"/>
        <v>118.45444691446511</v>
      </c>
      <c r="I82" s="17">
        <f t="shared" si="196"/>
        <v>46.771519980277262</v>
      </c>
      <c r="J82" s="17">
        <f t="shared" si="197"/>
        <v>18.467648438023144</v>
      </c>
      <c r="K82" s="17">
        <f t="shared" si="198"/>
        <v>7.291916945302976</v>
      </c>
      <c r="L82" s="17">
        <f t="shared" si="199"/>
        <v>2.8791999797365873</v>
      </c>
      <c r="M82" s="17">
        <f t="shared" si="200"/>
        <v>1.1368468479330263</v>
      </c>
      <c r="N82" s="17">
        <f t="shared" si="201"/>
        <v>0.4488819936416657</v>
      </c>
      <c r="O82" s="17">
        <f t="shared" si="202"/>
        <v>0.17724051038538166</v>
      </c>
      <c r="P82" s="17">
        <f t="shared" si="203"/>
        <v>6.998380489437428E-2</v>
      </c>
      <c r="Q82" s="17">
        <f t="shared" si="204"/>
        <v>2.7634790030729512E-2</v>
      </c>
      <c r="R82" s="17">
        <f t="shared" si="205"/>
        <v>1.0916139285953971E-2</v>
      </c>
      <c r="S82" s="17">
        <f t="shared" si="206"/>
        <v>4.3218507802320468E-3</v>
      </c>
      <c r="T82" s="17">
        <f t="shared" si="207"/>
        <v>1.7359375522520964E-3</v>
      </c>
      <c r="U82" s="17">
        <f t="shared" si="208"/>
        <v>7.6004964027290051E-4</v>
      </c>
      <c r="V82" s="17">
        <f t="shared" si="209"/>
        <v>4.8908291665620478E-4</v>
      </c>
      <c r="W82" s="17">
        <f t="shared" si="210"/>
        <v>6.7172460563384934E-4</v>
      </c>
      <c r="X82" s="17">
        <f t="shared" si="211"/>
        <v>1.4773689015013898E-3</v>
      </c>
      <c r="Y82" s="17">
        <f t="shared" si="212"/>
        <v>3.6532245447780673E-3</v>
      </c>
      <c r="Z82" s="17">
        <f t="shared" si="213"/>
        <v>9.217326495934524E-3</v>
      </c>
      <c r="AA82" s="17">
        <f t="shared" si="214"/>
        <v>2.3330197373165804E-2</v>
      </c>
      <c r="AB82" s="17">
        <f t="shared" si="215"/>
        <v>5.908106343597299E-2</v>
      </c>
      <c r="AC82" s="17">
        <f t="shared" si="216"/>
        <v>0.14962768393404643</v>
      </c>
      <c r="AD82" s="17">
        <f t="shared" si="217"/>
        <v>0.37894908858022486</v>
      </c>
      <c r="AE82" s="17">
        <f t="shared" si="218"/>
        <v>0.95973338156478072</v>
      </c>
      <c r="AF82" s="17">
        <f t="shared" si="219"/>
        <v>2.4306390034679208</v>
      </c>
      <c r="AG82" s="17">
        <f t="shared" si="220"/>
        <v>6.1558828212152665</v>
      </c>
      <c r="AH82" s="17">
        <f t="shared" si="221"/>
        <v>15.590506663395326</v>
      </c>
      <c r="AI82" s="17">
        <f t="shared" si="222"/>
        <v>39.484815639283291</v>
      </c>
      <c r="AJ82" s="16">
        <f t="shared" si="164"/>
        <v>100</v>
      </c>
      <c r="AN82" s="35"/>
      <c r="AO82" s="24">
        <f t="shared" si="165"/>
        <v>-1076400000</v>
      </c>
      <c r="AP82" s="20">
        <f t="shared" si="166"/>
        <v>-425014555.52910089</v>
      </c>
      <c r="AQ82" s="20">
        <f t="shared" si="167"/>
        <v>-167816213.68923482</v>
      </c>
      <c r="AR82" s="20">
        <f t="shared" si="168"/>
        <v>-66261922.59562704</v>
      </c>
      <c r="AS82" s="20">
        <f t="shared" si="169"/>
        <v>-26163397.999747083</v>
      </c>
      <c r="AT82" s="20">
        <f t="shared" si="170"/>
        <v>-10330569.527294876</v>
      </c>
      <c r="AU82" s="20">
        <f t="shared" si="171"/>
        <v>-4079006.4903836981</v>
      </c>
      <c r="AV82" s="20">
        <f t="shared" si="172"/>
        <v>-1610588.5931862965</v>
      </c>
      <c r="AW82" s="20">
        <f t="shared" si="173"/>
        <v>-635938.95126274938</v>
      </c>
      <c r="AX82" s="20">
        <f t="shared" si="174"/>
        <v>-251101.89196101492</v>
      </c>
      <c r="AY82" s="20">
        <f t="shared" si="175"/>
        <v>-99153.62663025748</v>
      </c>
      <c r="AZ82" s="20">
        <f t="shared" si="176"/>
        <v>-39167.107758002843</v>
      </c>
      <c r="BA82" s="20">
        <f t="shared" si="177"/>
        <v>-15506.800599472585</v>
      </c>
      <c r="BB82" s="20">
        <f t="shared" si="178"/>
        <v>-6228.543937480521</v>
      </c>
      <c r="BC82" s="20">
        <f t="shared" si="179"/>
        <v>-2727.0581092991665</v>
      </c>
      <c r="BD82" s="20">
        <f t="shared" si="180"/>
        <v>-1754.8295049624628</v>
      </c>
      <c r="BE82" s="20">
        <f t="shared" si="181"/>
        <v>-2410.1478850142512</v>
      </c>
      <c r="BF82" s="20">
        <f t="shared" si="182"/>
        <v>-5300.7996185869861</v>
      </c>
      <c r="BG82" s="20">
        <f t="shared" si="183"/>
        <v>-13107.769666663704</v>
      </c>
      <c r="BH82" s="20">
        <f t="shared" si="184"/>
        <v>-33071.767467413069</v>
      </c>
      <c r="BI82" s="20">
        <f t="shared" si="185"/>
        <v>-83708.748174918903</v>
      </c>
      <c r="BJ82" s="20">
        <f t="shared" si="186"/>
        <v>-211982.85560827106</v>
      </c>
      <c r="BK82" s="20">
        <f t="shared" si="187"/>
        <v>-536864.12995535857</v>
      </c>
      <c r="BL82" s="20">
        <f t="shared" si="188"/>
        <v>-1359669.3298258467</v>
      </c>
      <c r="BM82" s="20">
        <f t="shared" si="189"/>
        <v>-3443523.3730544331</v>
      </c>
      <c r="BN82" s="20">
        <f t="shared" si="190"/>
        <v>-8721132.7444428988</v>
      </c>
      <c r="BO82" s="20">
        <f t="shared" si="191"/>
        <v>-22087307.562520377</v>
      </c>
      <c r="BP82" s="20">
        <f t="shared" si="192"/>
        <v>-55938737.908262424</v>
      </c>
      <c r="BQ82" s="20">
        <f t="shared" si="193"/>
        <v>-141671518.51374844</v>
      </c>
      <c r="BR82" s="24">
        <f t="shared" si="194"/>
        <v>-358800000</v>
      </c>
      <c r="BU82" s="37"/>
      <c r="BV82" s="24">
        <f t="shared" si="102"/>
        <v>0.39484815638024295</v>
      </c>
      <c r="BW82" s="20">
        <f t="shared" si="103"/>
        <v>0.39484815638024295</v>
      </c>
      <c r="BX82" s="20">
        <f t="shared" si="104"/>
        <v>0.39484815638024295</v>
      </c>
      <c r="BY82" s="20">
        <f t="shared" si="105"/>
        <v>0.39484815638024295</v>
      </c>
      <c r="BZ82" s="20">
        <f t="shared" si="106"/>
        <v>0.39484815638024295</v>
      </c>
      <c r="CA82" s="20">
        <f t="shared" si="107"/>
        <v>0.39484815638024295</v>
      </c>
      <c r="CB82" s="20">
        <f t="shared" si="108"/>
        <v>0.39484815638024295</v>
      </c>
      <c r="CC82" s="20">
        <f t="shared" si="109"/>
        <v>0.39484815638024295</v>
      </c>
      <c r="CD82" s="20">
        <f t="shared" si="110"/>
        <v>0.39484815638024295</v>
      </c>
      <c r="CE82" s="20">
        <f t="shared" si="111"/>
        <v>0.39484815638024295</v>
      </c>
      <c r="CF82" s="20">
        <f t="shared" si="112"/>
        <v>0.39484815638024295</v>
      </c>
      <c r="CG82" s="20">
        <f t="shared" si="113"/>
        <v>0.39484815638024295</v>
      </c>
      <c r="CH82" s="20">
        <f t="shared" si="114"/>
        <v>0.39484815638024295</v>
      </c>
      <c r="CI82" s="20">
        <f t="shared" si="115"/>
        <v>0.39484815638024295</v>
      </c>
      <c r="CJ82" s="20">
        <f t="shared" si="116"/>
        <v>0.39484815638024295</v>
      </c>
      <c r="CK82" s="20">
        <f t="shared" si="117"/>
        <v>0.39484815638024295</v>
      </c>
      <c r="CL82" s="20">
        <f t="shared" si="118"/>
        <v>0.39484815638024295</v>
      </c>
      <c r="CM82" s="20">
        <f t="shared" si="119"/>
        <v>0.39484815638024295</v>
      </c>
      <c r="CN82" s="20">
        <f t="shared" si="120"/>
        <v>0.39484815638024295</v>
      </c>
      <c r="CO82" s="20">
        <f t="shared" si="121"/>
        <v>0.39484815638024295</v>
      </c>
      <c r="CP82" s="20">
        <f t="shared" si="122"/>
        <v>0.39484815638024295</v>
      </c>
      <c r="CQ82" s="20">
        <f t="shared" si="123"/>
        <v>0.39484815638024295</v>
      </c>
      <c r="CR82" s="20">
        <f t="shared" si="124"/>
        <v>0.39484815638024295</v>
      </c>
      <c r="CS82" s="20">
        <f t="shared" si="125"/>
        <v>0.39484815638024295</v>
      </c>
      <c r="CT82" s="20">
        <f t="shared" si="126"/>
        <v>0.39484815638024295</v>
      </c>
      <c r="CU82" s="20">
        <f t="shared" si="127"/>
        <v>0.39484815638024295</v>
      </c>
      <c r="CV82" s="20">
        <f t="shared" si="128"/>
        <v>0.39484815638024295</v>
      </c>
      <c r="CW82" s="20">
        <f t="shared" si="129"/>
        <v>0.39484815638024295</v>
      </c>
      <c r="CX82" s="20">
        <f t="shared" si="130"/>
        <v>0.39484815638024295</v>
      </c>
      <c r="CY82" s="24">
        <f t="shared" si="131"/>
        <v>0.39484815638024295</v>
      </c>
      <c r="DB82" s="37"/>
      <c r="DC82" s="24">
        <f t="shared" si="132"/>
        <v>181.54555308592711</v>
      </c>
      <c r="DD82" s="20">
        <f t="shared" si="133"/>
        <v>71.682926935247195</v>
      </c>
      <c r="DE82" s="20">
        <f t="shared" si="134"/>
        <v>28.303871544963087</v>
      </c>
      <c r="DF82" s="20">
        <f t="shared" si="135"/>
        <v>11.175731499591231</v>
      </c>
      <c r="DG82" s="20">
        <f t="shared" si="136"/>
        <v>4.4127169829722428</v>
      </c>
      <c r="DH82" s="20">
        <f t="shared" si="137"/>
        <v>1.7423531758875628</v>
      </c>
      <c r="DI82" s="20">
        <f t="shared" si="138"/>
        <v>0.68796496593998036</v>
      </c>
      <c r="DJ82" s="20">
        <f t="shared" si="139"/>
        <v>0.27164176601996604</v>
      </c>
      <c r="DK82" s="20">
        <f t="shared" si="140"/>
        <v>0.10725742162382039</v>
      </c>
      <c r="DL82" s="20">
        <f t="shared" si="141"/>
        <v>4.235082855535597E-2</v>
      </c>
      <c r="DM82" s="20">
        <f t="shared" si="142"/>
        <v>1.6723244135140845E-2</v>
      </c>
      <c r="DN82" s="20">
        <f t="shared" si="143"/>
        <v>6.6059218141051026E-3</v>
      </c>
      <c r="DO82" s="20">
        <f t="shared" si="144"/>
        <v>2.6153759675069084E-3</v>
      </c>
      <c r="DP82" s="20">
        <f t="shared" si="145"/>
        <v>1.0505058101541243E-3</v>
      </c>
      <c r="DQ82" s="20">
        <f t="shared" si="146"/>
        <v>4.5994544105367884E-4</v>
      </c>
      <c r="DR82" s="20">
        <f t="shared" si="147"/>
        <v>2.959694286974303E-4</v>
      </c>
      <c r="DS82" s="20">
        <f t="shared" si="148"/>
        <v>4.0649538350407809E-4</v>
      </c>
      <c r="DT82" s="20">
        <f t="shared" si="149"/>
        <v>8.9403251445006123E-4</v>
      </c>
      <c r="DU82" s="20">
        <f t="shared" si="150"/>
        <v>2.2107555684293947E-3</v>
      </c>
      <c r="DV82" s="20">
        <f t="shared" si="151"/>
        <v>5.5778821222600113E-3</v>
      </c>
      <c r="DW82" s="20">
        <f t="shared" si="152"/>
        <v>1.4118311952384098E-2</v>
      </c>
      <c r="DX82" s="20">
        <f t="shared" si="153"/>
        <v>3.575301446129487E-2</v>
      </c>
      <c r="DY82" s="20">
        <f t="shared" si="154"/>
        <v>9.0547468789242497E-2</v>
      </c>
      <c r="DZ82" s="20">
        <f t="shared" si="155"/>
        <v>0.22932173959234967</v>
      </c>
      <c r="EA82" s="20">
        <f t="shared" si="156"/>
        <v>0.58078442523735074</v>
      </c>
      <c r="EB82" s="20">
        <f t="shared" si="157"/>
        <v>1.4709056741227013</v>
      </c>
      <c r="EC82" s="20">
        <f t="shared" si="158"/>
        <v>3.7252438383656092</v>
      </c>
      <c r="ED82" s="20">
        <f t="shared" si="159"/>
        <v>9.4346238503197881</v>
      </c>
      <c r="EE82" s="20">
        <f t="shared" si="160"/>
        <v>23.894308979098497</v>
      </c>
      <c r="EF82" s="24">
        <f t="shared" si="161"/>
        <v>60.515184361975692</v>
      </c>
    </row>
    <row r="83" spans="6:136" ht="15" customHeight="1" x14ac:dyDescent="0.25">
      <c r="F83" s="38"/>
      <c r="G83" s="16">
        <f t="shared" si="162"/>
        <v>300</v>
      </c>
      <c r="H83" s="17">
        <f t="shared" si="195"/>
        <v>118.45444691446512</v>
      </c>
      <c r="I83" s="17">
        <f t="shared" si="196"/>
        <v>46.771519980277269</v>
      </c>
      <c r="J83" s="17">
        <f t="shared" si="197"/>
        <v>18.467648438023144</v>
      </c>
      <c r="K83" s="17">
        <f t="shared" si="198"/>
        <v>7.291916945302976</v>
      </c>
      <c r="L83" s="17">
        <f t="shared" si="199"/>
        <v>2.8791999797365877</v>
      </c>
      <c r="M83" s="17">
        <f t="shared" si="200"/>
        <v>1.1368468479330263</v>
      </c>
      <c r="N83" s="17">
        <f t="shared" si="201"/>
        <v>0.44888199364166581</v>
      </c>
      <c r="O83" s="17">
        <f t="shared" si="202"/>
        <v>0.17724051038538169</v>
      </c>
      <c r="P83" s="17">
        <f t="shared" si="203"/>
        <v>6.998380489437428E-2</v>
      </c>
      <c r="Q83" s="17">
        <f t="shared" si="204"/>
        <v>2.7634790030729516E-2</v>
      </c>
      <c r="R83" s="17">
        <f t="shared" si="205"/>
        <v>1.0916139285953971E-2</v>
      </c>
      <c r="S83" s="17">
        <f t="shared" si="206"/>
        <v>4.3218507802320477E-3</v>
      </c>
      <c r="T83" s="17">
        <f t="shared" si="207"/>
        <v>1.7359375522520964E-3</v>
      </c>
      <c r="U83" s="17">
        <f t="shared" si="208"/>
        <v>7.6004964027290051E-4</v>
      </c>
      <c r="V83" s="17">
        <f t="shared" si="209"/>
        <v>4.8908291665620478E-4</v>
      </c>
      <c r="W83" s="17">
        <f t="shared" si="210"/>
        <v>6.7172460563384934E-4</v>
      </c>
      <c r="X83" s="17">
        <f t="shared" si="211"/>
        <v>1.4773689015013898E-3</v>
      </c>
      <c r="Y83" s="17">
        <f t="shared" si="212"/>
        <v>3.6532245447780673E-3</v>
      </c>
      <c r="Z83" s="17">
        <f t="shared" si="213"/>
        <v>9.217326495934524E-3</v>
      </c>
      <c r="AA83" s="17">
        <f t="shared" si="214"/>
        <v>2.3330197373165808E-2</v>
      </c>
      <c r="AB83" s="17">
        <f t="shared" si="215"/>
        <v>5.9081063435972997E-2</v>
      </c>
      <c r="AC83" s="17">
        <f t="shared" si="216"/>
        <v>0.14962768393404643</v>
      </c>
      <c r="AD83" s="17">
        <f t="shared" si="217"/>
        <v>0.37894908858022491</v>
      </c>
      <c r="AE83" s="17">
        <f t="shared" si="218"/>
        <v>0.95973338156478083</v>
      </c>
      <c r="AF83" s="17">
        <f t="shared" si="219"/>
        <v>2.4306390034679208</v>
      </c>
      <c r="AG83" s="17">
        <f t="shared" si="220"/>
        <v>6.1558828212152665</v>
      </c>
      <c r="AH83" s="17">
        <f t="shared" si="221"/>
        <v>15.590506663395328</v>
      </c>
      <c r="AI83" s="17">
        <f t="shared" si="222"/>
        <v>39.484815639283298</v>
      </c>
      <c r="AJ83" s="16">
        <f t="shared" si="164"/>
        <v>100</v>
      </c>
      <c r="AN83" s="35"/>
      <c r="AO83" s="24">
        <f t="shared" si="165"/>
        <v>-1076400000</v>
      </c>
      <c r="AP83" s="20">
        <f t="shared" si="166"/>
        <v>-425014555.52910089</v>
      </c>
      <c r="AQ83" s="20">
        <f t="shared" si="167"/>
        <v>-167816213.68923482</v>
      </c>
      <c r="AR83" s="20">
        <f t="shared" si="168"/>
        <v>-66261922.59562704</v>
      </c>
      <c r="AS83" s="20">
        <f t="shared" si="169"/>
        <v>-26163397.999747083</v>
      </c>
      <c r="AT83" s="20">
        <f t="shared" si="170"/>
        <v>-10330569.527294876</v>
      </c>
      <c r="AU83" s="20">
        <f t="shared" si="171"/>
        <v>-4079006.4903836981</v>
      </c>
      <c r="AV83" s="20">
        <f t="shared" si="172"/>
        <v>-1610588.5931862965</v>
      </c>
      <c r="AW83" s="20">
        <f t="shared" si="173"/>
        <v>-635938.95126274938</v>
      </c>
      <c r="AX83" s="20">
        <f t="shared" si="174"/>
        <v>-251101.89196101492</v>
      </c>
      <c r="AY83" s="20">
        <f t="shared" si="175"/>
        <v>-99153.62663025748</v>
      </c>
      <c r="AZ83" s="20">
        <f t="shared" si="176"/>
        <v>-39167.107758002843</v>
      </c>
      <c r="BA83" s="20">
        <f t="shared" si="177"/>
        <v>-15506.800599472585</v>
      </c>
      <c r="BB83" s="20">
        <f t="shared" si="178"/>
        <v>-6228.543937480521</v>
      </c>
      <c r="BC83" s="20">
        <f t="shared" si="179"/>
        <v>-2727.0581092991665</v>
      </c>
      <c r="BD83" s="20">
        <f t="shared" si="180"/>
        <v>-1754.8295049624628</v>
      </c>
      <c r="BE83" s="20">
        <f t="shared" si="181"/>
        <v>-2410.1478850142512</v>
      </c>
      <c r="BF83" s="20">
        <f t="shared" si="182"/>
        <v>-5300.7996185869861</v>
      </c>
      <c r="BG83" s="20">
        <f t="shared" si="183"/>
        <v>-13107.769666663704</v>
      </c>
      <c r="BH83" s="20">
        <f t="shared" si="184"/>
        <v>-33071.767467413069</v>
      </c>
      <c r="BI83" s="20">
        <f t="shared" si="185"/>
        <v>-83708.748174918903</v>
      </c>
      <c r="BJ83" s="20">
        <f t="shared" si="186"/>
        <v>-211982.85560827106</v>
      </c>
      <c r="BK83" s="20">
        <f t="shared" si="187"/>
        <v>-536864.12995535857</v>
      </c>
      <c r="BL83" s="20">
        <f t="shared" si="188"/>
        <v>-1359669.3298258467</v>
      </c>
      <c r="BM83" s="20">
        <f t="shared" si="189"/>
        <v>-3443523.3730544331</v>
      </c>
      <c r="BN83" s="20">
        <f t="shared" si="190"/>
        <v>-8721132.7444428988</v>
      </c>
      <c r="BO83" s="20">
        <f t="shared" si="191"/>
        <v>-22087307.562520377</v>
      </c>
      <c r="BP83" s="20">
        <f t="shared" si="192"/>
        <v>-55938737.908262424</v>
      </c>
      <c r="BQ83" s="20">
        <f t="shared" si="193"/>
        <v>-141671518.51374844</v>
      </c>
      <c r="BR83" s="24">
        <f t="shared" si="194"/>
        <v>-358800000</v>
      </c>
      <c r="BU83" s="37"/>
      <c r="BV83" s="24">
        <f t="shared" si="102"/>
        <v>0.39484815638079979</v>
      </c>
      <c r="BW83" s="20">
        <f t="shared" si="103"/>
        <v>0.39484815638079979</v>
      </c>
      <c r="BX83" s="20">
        <f t="shared" si="104"/>
        <v>0.39484815638079979</v>
      </c>
      <c r="BY83" s="20">
        <f t="shared" si="105"/>
        <v>0.39484815638079979</v>
      </c>
      <c r="BZ83" s="20">
        <f t="shared" si="106"/>
        <v>0.39484815638079979</v>
      </c>
      <c r="CA83" s="20">
        <f t="shared" si="107"/>
        <v>0.39484815638079979</v>
      </c>
      <c r="CB83" s="20">
        <f t="shared" si="108"/>
        <v>0.39484815638079979</v>
      </c>
      <c r="CC83" s="20">
        <f t="shared" si="109"/>
        <v>0.39484815638079979</v>
      </c>
      <c r="CD83" s="20">
        <f t="shared" si="110"/>
        <v>0.39484815638079979</v>
      </c>
      <c r="CE83" s="20">
        <f t="shared" si="111"/>
        <v>0.39484815638079979</v>
      </c>
      <c r="CF83" s="20">
        <f t="shared" si="112"/>
        <v>0.39484815638079979</v>
      </c>
      <c r="CG83" s="20">
        <f t="shared" si="113"/>
        <v>0.39484815638079979</v>
      </c>
      <c r="CH83" s="20">
        <f t="shared" si="114"/>
        <v>0.39484815638079979</v>
      </c>
      <c r="CI83" s="20">
        <f t="shared" si="115"/>
        <v>0.39484815638079979</v>
      </c>
      <c r="CJ83" s="20">
        <f t="shared" si="116"/>
        <v>0.39484815638079979</v>
      </c>
      <c r="CK83" s="20">
        <f t="shared" si="117"/>
        <v>0.39484815638079979</v>
      </c>
      <c r="CL83" s="20">
        <f t="shared" si="118"/>
        <v>0.39484815638079979</v>
      </c>
      <c r="CM83" s="20">
        <f t="shared" si="119"/>
        <v>0.39484815638079979</v>
      </c>
      <c r="CN83" s="20">
        <f t="shared" si="120"/>
        <v>0.39484815638079979</v>
      </c>
      <c r="CO83" s="20">
        <f t="shared" si="121"/>
        <v>0.39484815638079979</v>
      </c>
      <c r="CP83" s="20">
        <f t="shared" si="122"/>
        <v>0.39484815638079979</v>
      </c>
      <c r="CQ83" s="20">
        <f t="shared" si="123"/>
        <v>0.39484815638079979</v>
      </c>
      <c r="CR83" s="20">
        <f t="shared" si="124"/>
        <v>0.39484815638079979</v>
      </c>
      <c r="CS83" s="20">
        <f t="shared" si="125"/>
        <v>0.39484815638079979</v>
      </c>
      <c r="CT83" s="20">
        <f t="shared" si="126"/>
        <v>0.39484815638079979</v>
      </c>
      <c r="CU83" s="20">
        <f t="shared" si="127"/>
        <v>0.39484815638079979</v>
      </c>
      <c r="CV83" s="20">
        <f t="shared" si="128"/>
        <v>0.39484815638079979</v>
      </c>
      <c r="CW83" s="20">
        <f t="shared" si="129"/>
        <v>0.39484815638079979</v>
      </c>
      <c r="CX83" s="20">
        <f t="shared" si="130"/>
        <v>0.39484815638079979</v>
      </c>
      <c r="CY83" s="24">
        <f t="shared" si="131"/>
        <v>0.39484815638079979</v>
      </c>
      <c r="DB83" s="37"/>
      <c r="DC83" s="24">
        <f t="shared" si="132"/>
        <v>181.54555308576008</v>
      </c>
      <c r="DD83" s="20">
        <f t="shared" si="133"/>
        <v>71.682926935181257</v>
      </c>
      <c r="DE83" s="20">
        <f t="shared" si="134"/>
        <v>28.303871544937049</v>
      </c>
      <c r="DF83" s="20">
        <f t="shared" si="135"/>
        <v>11.17573149958095</v>
      </c>
      <c r="DG83" s="20">
        <f t="shared" si="136"/>
        <v>4.4127169829681829</v>
      </c>
      <c r="DH83" s="20">
        <f t="shared" si="137"/>
        <v>1.7423531758859601</v>
      </c>
      <c r="DI83" s="20">
        <f t="shared" si="138"/>
        <v>0.68796496593934742</v>
      </c>
      <c r="DJ83" s="20">
        <f t="shared" si="139"/>
        <v>0.27164176601971618</v>
      </c>
      <c r="DK83" s="20">
        <f t="shared" si="140"/>
        <v>0.10725742162372173</v>
      </c>
      <c r="DL83" s="20">
        <f t="shared" si="141"/>
        <v>4.2350828555317008E-2</v>
      </c>
      <c r="DM83" s="20">
        <f t="shared" si="142"/>
        <v>1.6723244135125461E-2</v>
      </c>
      <c r="DN83" s="20">
        <f t="shared" si="143"/>
        <v>6.605921814099025E-3</v>
      </c>
      <c r="DO83" s="20">
        <f t="shared" si="144"/>
        <v>2.6153759675045024E-3</v>
      </c>
      <c r="DP83" s="20">
        <f t="shared" si="145"/>
        <v>1.0505058101531579E-3</v>
      </c>
      <c r="DQ83" s="20">
        <f t="shared" si="146"/>
        <v>4.5994544105325567E-4</v>
      </c>
      <c r="DR83" s="20">
        <f t="shared" si="147"/>
        <v>2.95969428697158E-4</v>
      </c>
      <c r="DS83" s="20">
        <f t="shared" si="148"/>
        <v>4.0649538350370415E-4</v>
      </c>
      <c r="DT83" s="20">
        <f t="shared" si="149"/>
        <v>8.9403251444923864E-4</v>
      </c>
      <c r="DU83" s="20">
        <f t="shared" si="150"/>
        <v>2.2107555684273607E-3</v>
      </c>
      <c r="DV83" s="20">
        <f t="shared" si="151"/>
        <v>5.57788212225488E-3</v>
      </c>
      <c r="DW83" s="20">
        <f t="shared" si="152"/>
        <v>1.4118311952371111E-2</v>
      </c>
      <c r="DX83" s="20">
        <f t="shared" si="153"/>
        <v>3.575301446126198E-2</v>
      </c>
      <c r="DY83" s="20">
        <f t="shared" si="154"/>
        <v>9.0547468789159188E-2</v>
      </c>
      <c r="DZ83" s="20">
        <f t="shared" si="155"/>
        <v>0.22932173959213872</v>
      </c>
      <c r="EA83" s="20">
        <f t="shared" si="156"/>
        <v>0.5807844252368165</v>
      </c>
      <c r="EB83" s="20">
        <f t="shared" si="157"/>
        <v>1.470905674121348</v>
      </c>
      <c r="EC83" s="20">
        <f t="shared" si="158"/>
        <v>3.7252438383621826</v>
      </c>
      <c r="ED83" s="20">
        <f t="shared" si="159"/>
        <v>9.4346238503111088</v>
      </c>
      <c r="EE83" s="20">
        <f t="shared" si="160"/>
        <v>23.894308979076516</v>
      </c>
      <c r="EF83" s="24">
        <f t="shared" si="161"/>
        <v>60.515184361920028</v>
      </c>
    </row>
    <row r="84" spans="6:136" ht="15" customHeight="1" x14ac:dyDescent="0.25">
      <c r="F84" s="38"/>
      <c r="G84" s="16">
        <f t="shared" si="162"/>
        <v>300</v>
      </c>
      <c r="H84" s="17">
        <f t="shared" si="195"/>
        <v>118.45444691446514</v>
      </c>
      <c r="I84" s="17">
        <f t="shared" si="196"/>
        <v>46.771519980277269</v>
      </c>
      <c r="J84" s="17">
        <f t="shared" si="197"/>
        <v>18.467648438023147</v>
      </c>
      <c r="K84" s="17">
        <f t="shared" si="198"/>
        <v>7.291916945302976</v>
      </c>
      <c r="L84" s="17">
        <f t="shared" si="199"/>
        <v>2.8791999797365877</v>
      </c>
      <c r="M84" s="17">
        <f t="shared" si="200"/>
        <v>1.1368468479330263</v>
      </c>
      <c r="N84" s="17">
        <f t="shared" si="201"/>
        <v>0.44888199364166581</v>
      </c>
      <c r="O84" s="17">
        <f t="shared" si="202"/>
        <v>0.17724051038538169</v>
      </c>
      <c r="P84" s="17">
        <f t="shared" si="203"/>
        <v>6.998380489437428E-2</v>
      </c>
      <c r="Q84" s="17">
        <f t="shared" si="204"/>
        <v>2.7634790030729516E-2</v>
      </c>
      <c r="R84" s="17">
        <f t="shared" si="205"/>
        <v>1.0916139285953971E-2</v>
      </c>
      <c r="S84" s="17">
        <f t="shared" si="206"/>
        <v>4.3218507802320477E-3</v>
      </c>
      <c r="T84" s="17">
        <f t="shared" si="207"/>
        <v>1.7359375522520964E-3</v>
      </c>
      <c r="U84" s="17">
        <f t="shared" si="208"/>
        <v>7.6004964027290051E-4</v>
      </c>
      <c r="V84" s="17">
        <f t="shared" si="209"/>
        <v>4.8908291665620478E-4</v>
      </c>
      <c r="W84" s="17">
        <f t="shared" si="210"/>
        <v>6.7172460563384934E-4</v>
      </c>
      <c r="X84" s="17">
        <f t="shared" si="211"/>
        <v>1.4773689015013898E-3</v>
      </c>
      <c r="Y84" s="17">
        <f t="shared" si="212"/>
        <v>3.6532245447780673E-3</v>
      </c>
      <c r="Z84" s="17">
        <f t="shared" si="213"/>
        <v>9.217326495934524E-3</v>
      </c>
      <c r="AA84" s="17">
        <f t="shared" si="214"/>
        <v>2.3330197373165808E-2</v>
      </c>
      <c r="AB84" s="17">
        <f t="shared" si="215"/>
        <v>5.908106343597299E-2</v>
      </c>
      <c r="AC84" s="17">
        <f t="shared" si="216"/>
        <v>0.14962768393404643</v>
      </c>
      <c r="AD84" s="17">
        <f t="shared" si="217"/>
        <v>0.37894908858022491</v>
      </c>
      <c r="AE84" s="17">
        <f t="shared" si="218"/>
        <v>0.95973338156478083</v>
      </c>
      <c r="AF84" s="17">
        <f t="shared" si="219"/>
        <v>2.4306390034679208</v>
      </c>
      <c r="AG84" s="17">
        <f t="shared" si="220"/>
        <v>6.1558828212152665</v>
      </c>
      <c r="AH84" s="17">
        <f t="shared" si="221"/>
        <v>15.590506663395328</v>
      </c>
      <c r="AI84" s="17">
        <f t="shared" si="222"/>
        <v>39.484815639283298</v>
      </c>
      <c r="AJ84" s="16">
        <f t="shared" si="164"/>
        <v>100</v>
      </c>
      <c r="AN84" s="35"/>
      <c r="AO84" s="24">
        <f t="shared" si="165"/>
        <v>-1076400000</v>
      </c>
      <c r="AP84" s="20">
        <f t="shared" si="166"/>
        <v>-425014555.52910089</v>
      </c>
      <c r="AQ84" s="20">
        <f t="shared" si="167"/>
        <v>-167816213.68923482</v>
      </c>
      <c r="AR84" s="20">
        <f t="shared" si="168"/>
        <v>-66261922.59562704</v>
      </c>
      <c r="AS84" s="20">
        <f t="shared" si="169"/>
        <v>-26163397.999747083</v>
      </c>
      <c r="AT84" s="20">
        <f t="shared" si="170"/>
        <v>-10330569.527294876</v>
      </c>
      <c r="AU84" s="20">
        <f t="shared" si="171"/>
        <v>-4079006.4903836981</v>
      </c>
      <c r="AV84" s="20">
        <f t="shared" si="172"/>
        <v>-1610588.5931862965</v>
      </c>
      <c r="AW84" s="20">
        <f t="shared" si="173"/>
        <v>-635938.95126274938</v>
      </c>
      <c r="AX84" s="20">
        <f t="shared" si="174"/>
        <v>-251101.89196101492</v>
      </c>
      <c r="AY84" s="20">
        <f t="shared" si="175"/>
        <v>-99153.62663025748</v>
      </c>
      <c r="AZ84" s="20">
        <f t="shared" si="176"/>
        <v>-39167.107758002843</v>
      </c>
      <c r="BA84" s="20">
        <f t="shared" si="177"/>
        <v>-15506.800599472585</v>
      </c>
      <c r="BB84" s="20">
        <f t="shared" si="178"/>
        <v>-6228.543937480521</v>
      </c>
      <c r="BC84" s="20">
        <f t="shared" si="179"/>
        <v>-2727.0581092991665</v>
      </c>
      <c r="BD84" s="20">
        <f t="shared" si="180"/>
        <v>-1754.8295049624628</v>
      </c>
      <c r="BE84" s="20">
        <f t="shared" si="181"/>
        <v>-2410.1478850142512</v>
      </c>
      <c r="BF84" s="20">
        <f t="shared" si="182"/>
        <v>-5300.7996185869861</v>
      </c>
      <c r="BG84" s="20">
        <f t="shared" si="183"/>
        <v>-13107.769666663704</v>
      </c>
      <c r="BH84" s="20">
        <f t="shared" si="184"/>
        <v>-33071.767467413069</v>
      </c>
      <c r="BI84" s="20">
        <f t="shared" si="185"/>
        <v>-83708.748174918903</v>
      </c>
      <c r="BJ84" s="20">
        <f t="shared" si="186"/>
        <v>-211982.85560827106</v>
      </c>
      <c r="BK84" s="20">
        <f t="shared" si="187"/>
        <v>-536864.12995535857</v>
      </c>
      <c r="BL84" s="20">
        <f t="shared" si="188"/>
        <v>-1359669.3298258467</v>
      </c>
      <c r="BM84" s="20">
        <f t="shared" si="189"/>
        <v>-3443523.3730544331</v>
      </c>
      <c r="BN84" s="20">
        <f t="shared" si="190"/>
        <v>-8721132.7444428988</v>
      </c>
      <c r="BO84" s="20">
        <f t="shared" si="191"/>
        <v>-22087307.562520377</v>
      </c>
      <c r="BP84" s="20">
        <f t="shared" si="192"/>
        <v>-55938737.908262424</v>
      </c>
      <c r="BQ84" s="20">
        <f t="shared" si="193"/>
        <v>-141671518.51374844</v>
      </c>
      <c r="BR84" s="24">
        <f t="shared" si="194"/>
        <v>-358800000</v>
      </c>
      <c r="BU84" s="37"/>
      <c r="BV84" s="24">
        <f t="shared" si="102"/>
        <v>0.3948481563843711</v>
      </c>
      <c r="BW84" s="20">
        <f t="shared" si="103"/>
        <v>0.3948481563843711</v>
      </c>
      <c r="BX84" s="20">
        <f t="shared" si="104"/>
        <v>0.3948481563843711</v>
      </c>
      <c r="BY84" s="20">
        <f t="shared" si="105"/>
        <v>0.3948481563843711</v>
      </c>
      <c r="BZ84" s="20">
        <f t="shared" si="106"/>
        <v>0.3948481563843711</v>
      </c>
      <c r="CA84" s="20">
        <f t="shared" si="107"/>
        <v>0.3948481563843711</v>
      </c>
      <c r="CB84" s="20">
        <f t="shared" si="108"/>
        <v>0.3948481563843711</v>
      </c>
      <c r="CC84" s="20">
        <f t="shared" si="109"/>
        <v>0.3948481563843711</v>
      </c>
      <c r="CD84" s="20">
        <f t="shared" si="110"/>
        <v>0.3948481563843711</v>
      </c>
      <c r="CE84" s="20">
        <f t="shared" si="111"/>
        <v>0.3948481563843711</v>
      </c>
      <c r="CF84" s="20">
        <f t="shared" si="112"/>
        <v>0.3948481563843711</v>
      </c>
      <c r="CG84" s="20">
        <f t="shared" si="113"/>
        <v>0.3948481563843711</v>
      </c>
      <c r="CH84" s="20">
        <f t="shared" si="114"/>
        <v>0.3948481563843711</v>
      </c>
      <c r="CI84" s="20">
        <f t="shared" si="115"/>
        <v>0.3948481563843711</v>
      </c>
      <c r="CJ84" s="20">
        <f t="shared" si="116"/>
        <v>0.3948481563843711</v>
      </c>
      <c r="CK84" s="20">
        <f t="shared" si="117"/>
        <v>0.3948481563843711</v>
      </c>
      <c r="CL84" s="20">
        <f t="shared" si="118"/>
        <v>0.3948481563843711</v>
      </c>
      <c r="CM84" s="20">
        <f t="shared" si="119"/>
        <v>0.3948481563843711</v>
      </c>
      <c r="CN84" s="20">
        <f t="shared" si="120"/>
        <v>0.3948481563843711</v>
      </c>
      <c r="CO84" s="20">
        <f t="shared" si="121"/>
        <v>0.3948481563843711</v>
      </c>
      <c r="CP84" s="20">
        <f t="shared" si="122"/>
        <v>0.3948481563843711</v>
      </c>
      <c r="CQ84" s="20">
        <f t="shared" si="123"/>
        <v>0.3948481563843711</v>
      </c>
      <c r="CR84" s="20">
        <f t="shared" si="124"/>
        <v>0.3948481563843711</v>
      </c>
      <c r="CS84" s="20">
        <f t="shared" si="125"/>
        <v>0.3948481563843711</v>
      </c>
      <c r="CT84" s="20">
        <f t="shared" si="126"/>
        <v>0.3948481563843711</v>
      </c>
      <c r="CU84" s="20">
        <f t="shared" si="127"/>
        <v>0.3948481563843711</v>
      </c>
      <c r="CV84" s="20">
        <f t="shared" si="128"/>
        <v>0.3948481563843711</v>
      </c>
      <c r="CW84" s="20">
        <f t="shared" si="129"/>
        <v>0.3948481563843711</v>
      </c>
      <c r="CX84" s="20">
        <f t="shared" si="130"/>
        <v>0.3948481563843711</v>
      </c>
      <c r="CY84" s="24">
        <f t="shared" si="131"/>
        <v>0.3948481563843711</v>
      </c>
      <c r="DB84" s="37"/>
      <c r="DC84" s="24">
        <f t="shared" si="132"/>
        <v>181.54555308468869</v>
      </c>
      <c r="DD84" s="20">
        <f t="shared" si="133"/>
        <v>71.682926934758228</v>
      </c>
      <c r="DE84" s="20">
        <f t="shared" si="134"/>
        <v>28.303871544770011</v>
      </c>
      <c r="DF84" s="20">
        <f t="shared" si="135"/>
        <v>11.175731499514997</v>
      </c>
      <c r="DG84" s="20">
        <f t="shared" si="136"/>
        <v>4.4127169829421415</v>
      </c>
      <c r="DH84" s="20">
        <f t="shared" si="137"/>
        <v>1.7423531758756776</v>
      </c>
      <c r="DI84" s="20">
        <f t="shared" si="138"/>
        <v>0.68796496593528744</v>
      </c>
      <c r="DJ84" s="20">
        <f t="shared" si="139"/>
        <v>0.27164176601811307</v>
      </c>
      <c r="DK84" s="20">
        <f t="shared" si="140"/>
        <v>0.10725742162308875</v>
      </c>
      <c r="DL84" s="20">
        <f t="shared" si="141"/>
        <v>4.2350828555067069E-2</v>
      </c>
      <c r="DM84" s="20">
        <f t="shared" si="142"/>
        <v>1.6723244135026769E-2</v>
      </c>
      <c r="DN84" s="20">
        <f t="shared" si="143"/>
        <v>6.6059218140600406E-3</v>
      </c>
      <c r="DO84" s="20">
        <f t="shared" si="144"/>
        <v>2.6153759674890677E-3</v>
      </c>
      <c r="DP84" s="20">
        <f t="shared" si="145"/>
        <v>1.0505058101469584E-3</v>
      </c>
      <c r="DQ84" s="20">
        <f t="shared" si="146"/>
        <v>4.5994544105054132E-4</v>
      </c>
      <c r="DR84" s="20">
        <f t="shared" si="147"/>
        <v>2.9596942869541129E-4</v>
      </c>
      <c r="DS84" s="20">
        <f t="shared" si="148"/>
        <v>4.0649538350130519E-4</v>
      </c>
      <c r="DT84" s="20">
        <f t="shared" si="149"/>
        <v>8.9403251444396248E-4</v>
      </c>
      <c r="DU84" s="20">
        <f t="shared" si="150"/>
        <v>2.2107555684143139E-3</v>
      </c>
      <c r="DV84" s="20">
        <f t="shared" si="151"/>
        <v>5.5778821222219619E-3</v>
      </c>
      <c r="DW84" s="20">
        <f t="shared" si="152"/>
        <v>1.411831195228779E-2</v>
      </c>
      <c r="DX84" s="20">
        <f t="shared" si="153"/>
        <v>3.5753014461050975E-2</v>
      </c>
      <c r="DY84" s="20">
        <f t="shared" si="154"/>
        <v>9.054746878862481E-2</v>
      </c>
      <c r="DZ84" s="20">
        <f t="shared" si="155"/>
        <v>0.22932173959078536</v>
      </c>
      <c r="EA84" s="20">
        <f t="shared" si="156"/>
        <v>0.58078442523338902</v>
      </c>
      <c r="EB84" s="20">
        <f t="shared" si="157"/>
        <v>1.4709056741126674</v>
      </c>
      <c r="EC84" s="20">
        <f t="shared" si="158"/>
        <v>3.725243838340198</v>
      </c>
      <c r="ED84" s="20">
        <f t="shared" si="159"/>
        <v>9.4346238502554307</v>
      </c>
      <c r="EE84" s="20">
        <f t="shared" si="160"/>
        <v>23.894308978935502</v>
      </c>
      <c r="EF84" s="24">
        <f t="shared" si="161"/>
        <v>60.515184361562895</v>
      </c>
    </row>
    <row r="85" spans="6:136" ht="15" customHeight="1" x14ac:dyDescent="0.25">
      <c r="F85" s="38"/>
      <c r="G85" s="16">
        <f t="shared" si="162"/>
        <v>300</v>
      </c>
      <c r="H85" s="17">
        <f t="shared" si="195"/>
        <v>118.45444691446514</v>
      </c>
      <c r="I85" s="17">
        <f t="shared" si="196"/>
        <v>46.771519980277276</v>
      </c>
      <c r="J85" s="17">
        <f t="shared" si="197"/>
        <v>18.467648438023147</v>
      </c>
      <c r="K85" s="17">
        <f t="shared" si="198"/>
        <v>7.2919169453029768</v>
      </c>
      <c r="L85" s="17">
        <f t="shared" si="199"/>
        <v>2.8791999797365877</v>
      </c>
      <c r="M85" s="17">
        <f t="shared" si="200"/>
        <v>1.1368468479330263</v>
      </c>
      <c r="N85" s="17">
        <f t="shared" si="201"/>
        <v>0.44888199364166581</v>
      </c>
      <c r="O85" s="17">
        <f t="shared" si="202"/>
        <v>0.17724051038538166</v>
      </c>
      <c r="P85" s="17">
        <f t="shared" si="203"/>
        <v>6.998380489437428E-2</v>
      </c>
      <c r="Q85" s="17">
        <f t="shared" si="204"/>
        <v>2.7634790030729516E-2</v>
      </c>
      <c r="R85" s="17">
        <f t="shared" si="205"/>
        <v>1.0916139285953971E-2</v>
      </c>
      <c r="S85" s="17">
        <f t="shared" si="206"/>
        <v>4.3218507802320477E-3</v>
      </c>
      <c r="T85" s="17">
        <f t="shared" si="207"/>
        <v>1.7359375522520964E-3</v>
      </c>
      <c r="U85" s="17">
        <f t="shared" si="208"/>
        <v>7.6004964027290051E-4</v>
      </c>
      <c r="V85" s="17">
        <f t="shared" si="209"/>
        <v>4.8908291665620478E-4</v>
      </c>
      <c r="W85" s="17">
        <f t="shared" si="210"/>
        <v>6.7172460563384934E-4</v>
      </c>
      <c r="X85" s="17">
        <f t="shared" si="211"/>
        <v>1.4773689015013898E-3</v>
      </c>
      <c r="Y85" s="17">
        <f t="shared" si="212"/>
        <v>3.6532245447780673E-3</v>
      </c>
      <c r="Z85" s="17">
        <f t="shared" si="213"/>
        <v>9.217326495934524E-3</v>
      </c>
      <c r="AA85" s="17">
        <f t="shared" si="214"/>
        <v>2.3330197373165804E-2</v>
      </c>
      <c r="AB85" s="17">
        <f t="shared" si="215"/>
        <v>5.9081063435972983E-2</v>
      </c>
      <c r="AC85" s="17">
        <f t="shared" si="216"/>
        <v>0.14962768393404643</v>
      </c>
      <c r="AD85" s="17">
        <f t="shared" si="217"/>
        <v>0.37894908858022491</v>
      </c>
      <c r="AE85" s="17">
        <f t="shared" si="218"/>
        <v>0.95973338156478083</v>
      </c>
      <c r="AF85" s="17">
        <f t="shared" si="219"/>
        <v>2.4306390034679208</v>
      </c>
      <c r="AG85" s="17">
        <f t="shared" si="220"/>
        <v>6.1558828212152665</v>
      </c>
      <c r="AH85" s="17">
        <f t="shared" si="221"/>
        <v>15.590506663395328</v>
      </c>
      <c r="AI85" s="17">
        <f t="shared" si="222"/>
        <v>39.484815639283291</v>
      </c>
      <c r="AJ85" s="16">
        <f t="shared" si="164"/>
        <v>100</v>
      </c>
      <c r="AN85" s="35"/>
      <c r="AO85" s="24">
        <f t="shared" si="165"/>
        <v>-1076400000</v>
      </c>
      <c r="AP85" s="20">
        <f t="shared" si="166"/>
        <v>-425014555.52910089</v>
      </c>
      <c r="AQ85" s="20">
        <f t="shared" si="167"/>
        <v>-167816213.68923482</v>
      </c>
      <c r="AR85" s="20">
        <f t="shared" si="168"/>
        <v>-66261922.59562704</v>
      </c>
      <c r="AS85" s="20">
        <f t="shared" si="169"/>
        <v>-26163397.999747083</v>
      </c>
      <c r="AT85" s="20">
        <f t="shared" si="170"/>
        <v>-10330569.527294876</v>
      </c>
      <c r="AU85" s="20">
        <f t="shared" si="171"/>
        <v>-4079006.4903836981</v>
      </c>
      <c r="AV85" s="20">
        <f t="shared" si="172"/>
        <v>-1610588.5931862965</v>
      </c>
      <c r="AW85" s="20">
        <f t="shared" si="173"/>
        <v>-635938.95126274938</v>
      </c>
      <c r="AX85" s="20">
        <f t="shared" si="174"/>
        <v>-251101.89196101492</v>
      </c>
      <c r="AY85" s="20">
        <f t="shared" si="175"/>
        <v>-99153.62663025748</v>
      </c>
      <c r="AZ85" s="20">
        <f t="shared" si="176"/>
        <v>-39167.107758002843</v>
      </c>
      <c r="BA85" s="20">
        <f t="shared" si="177"/>
        <v>-15506.800599472585</v>
      </c>
      <c r="BB85" s="20">
        <f t="shared" si="178"/>
        <v>-6228.543937480521</v>
      </c>
      <c r="BC85" s="20">
        <f t="shared" si="179"/>
        <v>-2727.0581092991665</v>
      </c>
      <c r="BD85" s="20">
        <f t="shared" si="180"/>
        <v>-1754.8295049624628</v>
      </c>
      <c r="BE85" s="20">
        <f t="shared" si="181"/>
        <v>-2410.1478850142512</v>
      </c>
      <c r="BF85" s="20">
        <f t="shared" si="182"/>
        <v>-5300.7996185869861</v>
      </c>
      <c r="BG85" s="20">
        <f t="shared" si="183"/>
        <v>-13107.769666663704</v>
      </c>
      <c r="BH85" s="20">
        <f t="shared" si="184"/>
        <v>-33071.767467413069</v>
      </c>
      <c r="BI85" s="20">
        <f t="shared" si="185"/>
        <v>-83708.748174918903</v>
      </c>
      <c r="BJ85" s="20">
        <f t="shared" si="186"/>
        <v>-211982.85560827106</v>
      </c>
      <c r="BK85" s="20">
        <f t="shared" si="187"/>
        <v>-536864.12995535857</v>
      </c>
      <c r="BL85" s="20">
        <f t="shared" si="188"/>
        <v>-1359669.3298258467</v>
      </c>
      <c r="BM85" s="20">
        <f t="shared" si="189"/>
        <v>-3443523.3730544331</v>
      </c>
      <c r="BN85" s="20">
        <f t="shared" si="190"/>
        <v>-8721132.7444428988</v>
      </c>
      <c r="BO85" s="20">
        <f t="shared" si="191"/>
        <v>-22087307.562520377</v>
      </c>
      <c r="BP85" s="20">
        <f t="shared" si="192"/>
        <v>-55938737.908262424</v>
      </c>
      <c r="BQ85" s="20">
        <f t="shared" si="193"/>
        <v>-141671518.51374844</v>
      </c>
      <c r="BR85" s="24">
        <f t="shared" si="194"/>
        <v>-358800000</v>
      </c>
      <c r="BU85" s="37"/>
      <c r="BV85" s="24">
        <f t="shared" si="102"/>
        <v>0.39484815640727794</v>
      </c>
      <c r="BW85" s="20">
        <f t="shared" si="103"/>
        <v>0.39484815640727794</v>
      </c>
      <c r="BX85" s="20">
        <f t="shared" si="104"/>
        <v>0.39484815640727794</v>
      </c>
      <c r="BY85" s="20">
        <f t="shared" si="105"/>
        <v>0.39484815640727794</v>
      </c>
      <c r="BZ85" s="20">
        <f t="shared" si="106"/>
        <v>0.39484815640727794</v>
      </c>
      <c r="CA85" s="20">
        <f t="shared" si="107"/>
        <v>0.39484815640727794</v>
      </c>
      <c r="CB85" s="20">
        <f t="shared" si="108"/>
        <v>0.39484815640727794</v>
      </c>
      <c r="CC85" s="20">
        <f t="shared" si="109"/>
        <v>0.39484815640727794</v>
      </c>
      <c r="CD85" s="20">
        <f t="shared" si="110"/>
        <v>0.39484815640727794</v>
      </c>
      <c r="CE85" s="20">
        <f t="shared" si="111"/>
        <v>0.39484815640727794</v>
      </c>
      <c r="CF85" s="20">
        <f t="shared" si="112"/>
        <v>0.39484815640727794</v>
      </c>
      <c r="CG85" s="20">
        <f t="shared" si="113"/>
        <v>0.39484815640727794</v>
      </c>
      <c r="CH85" s="20">
        <f t="shared" si="114"/>
        <v>0.39484815640727794</v>
      </c>
      <c r="CI85" s="20">
        <f t="shared" si="115"/>
        <v>0.39484815640727794</v>
      </c>
      <c r="CJ85" s="20">
        <f t="shared" si="116"/>
        <v>0.39484815640727794</v>
      </c>
      <c r="CK85" s="20">
        <f t="shared" si="117"/>
        <v>0.39484815640727794</v>
      </c>
      <c r="CL85" s="20">
        <f t="shared" si="118"/>
        <v>0.39484815640727794</v>
      </c>
      <c r="CM85" s="20">
        <f t="shared" si="119"/>
        <v>0.39484815640727794</v>
      </c>
      <c r="CN85" s="20">
        <f t="shared" si="120"/>
        <v>0.39484815640727794</v>
      </c>
      <c r="CO85" s="20">
        <f t="shared" si="121"/>
        <v>0.39484815640727794</v>
      </c>
      <c r="CP85" s="20">
        <f t="shared" si="122"/>
        <v>0.39484815640727794</v>
      </c>
      <c r="CQ85" s="20">
        <f t="shared" si="123"/>
        <v>0.39484815640727794</v>
      </c>
      <c r="CR85" s="20">
        <f t="shared" si="124"/>
        <v>0.39484815640727794</v>
      </c>
      <c r="CS85" s="20">
        <f t="shared" si="125"/>
        <v>0.39484815640727794</v>
      </c>
      <c r="CT85" s="20">
        <f t="shared" si="126"/>
        <v>0.39484815640727794</v>
      </c>
      <c r="CU85" s="20">
        <f t="shared" si="127"/>
        <v>0.39484815640727794</v>
      </c>
      <c r="CV85" s="20">
        <f t="shared" si="128"/>
        <v>0.39484815640727794</v>
      </c>
      <c r="CW85" s="20">
        <f t="shared" si="129"/>
        <v>0.39484815640727794</v>
      </c>
      <c r="CX85" s="20">
        <f t="shared" si="130"/>
        <v>0.39484815640727794</v>
      </c>
      <c r="CY85" s="24">
        <f t="shared" si="131"/>
        <v>0.39484815640727794</v>
      </c>
      <c r="DB85" s="37"/>
      <c r="DC85" s="24">
        <f t="shared" si="132"/>
        <v>181.54555307781661</v>
      </c>
      <c r="DD85" s="20">
        <f t="shared" si="133"/>
        <v>71.682926932044808</v>
      </c>
      <c r="DE85" s="20">
        <f t="shared" si="134"/>
        <v>28.303871543698627</v>
      </c>
      <c r="DF85" s="20">
        <f t="shared" si="135"/>
        <v>11.175731499091961</v>
      </c>
      <c r="DG85" s="20">
        <f t="shared" si="136"/>
        <v>4.4127169827751072</v>
      </c>
      <c r="DH85" s="20">
        <f t="shared" si="137"/>
        <v>1.7423531758097242</v>
      </c>
      <c r="DI85" s="20">
        <f t="shared" si="138"/>
        <v>0.68796496590924583</v>
      </c>
      <c r="DJ85" s="20">
        <f t="shared" si="139"/>
        <v>0.27164176600783058</v>
      </c>
      <c r="DK85" s="20">
        <f t="shared" si="140"/>
        <v>0.10725742161902871</v>
      </c>
      <c r="DL85" s="20">
        <f t="shared" si="141"/>
        <v>4.2350828553463962E-2</v>
      </c>
      <c r="DM85" s="20">
        <f t="shared" si="142"/>
        <v>1.6723244134393741E-2</v>
      </c>
      <c r="DN85" s="20">
        <f t="shared" si="143"/>
        <v>6.6059218138099863E-3</v>
      </c>
      <c r="DO85" s="20">
        <f t="shared" si="144"/>
        <v>2.6153759673900679E-3</v>
      </c>
      <c r="DP85" s="20">
        <f t="shared" si="145"/>
        <v>1.0505058101071935E-3</v>
      </c>
      <c r="DQ85" s="20">
        <f t="shared" si="146"/>
        <v>4.5994544103313093E-4</v>
      </c>
      <c r="DR85" s="20">
        <f t="shared" si="147"/>
        <v>2.9596942868420796E-4</v>
      </c>
      <c r="DS85" s="20">
        <f t="shared" si="148"/>
        <v>4.0649538348591809E-4</v>
      </c>
      <c r="DT85" s="20">
        <f t="shared" si="149"/>
        <v>8.9403251441012052E-4</v>
      </c>
      <c r="DU85" s="20">
        <f t="shared" si="150"/>
        <v>2.2107555683306304E-3</v>
      </c>
      <c r="DV85" s="20">
        <f t="shared" si="151"/>
        <v>5.5778821220108217E-3</v>
      </c>
      <c r="DW85" s="20">
        <f t="shared" si="152"/>
        <v>1.4118311951753367E-2</v>
      </c>
      <c r="DX85" s="20">
        <f t="shared" si="153"/>
        <v>3.5753014459697613E-2</v>
      </c>
      <c r="DY85" s="20">
        <f t="shared" si="154"/>
        <v>9.0547468785197316E-2</v>
      </c>
      <c r="DZ85" s="20">
        <f t="shared" si="155"/>
        <v>0.22932173958210483</v>
      </c>
      <c r="EA85" s="20">
        <f t="shared" si="156"/>
        <v>0.5807844252114045</v>
      </c>
      <c r="EB85" s="20">
        <f t="shared" si="157"/>
        <v>1.470905674056989</v>
      </c>
      <c r="EC85" s="20">
        <f t="shared" si="158"/>
        <v>3.7252438381991859</v>
      </c>
      <c r="ED85" s="20">
        <f t="shared" si="159"/>
        <v>9.4346238498982995</v>
      </c>
      <c r="EE85" s="20">
        <f t="shared" si="160"/>
        <v>23.894308978031027</v>
      </c>
      <c r="EF85" s="24">
        <f t="shared" si="161"/>
        <v>60.515184359272212</v>
      </c>
    </row>
    <row r="86" spans="6:136" ht="15" customHeight="1" x14ac:dyDescent="0.25">
      <c r="F86" s="38"/>
      <c r="G86" s="16">
        <f t="shared" si="162"/>
        <v>300</v>
      </c>
      <c r="H86" s="17">
        <f t="shared" si="195"/>
        <v>118.45444691446514</v>
      </c>
      <c r="I86" s="17">
        <f t="shared" si="196"/>
        <v>46.771519980277276</v>
      </c>
      <c r="J86" s="17">
        <f t="shared" si="197"/>
        <v>18.467648438023144</v>
      </c>
      <c r="K86" s="17">
        <f t="shared" si="198"/>
        <v>7.2919169453029777</v>
      </c>
      <c r="L86" s="17">
        <f t="shared" si="199"/>
        <v>2.8791999797365877</v>
      </c>
      <c r="M86" s="17">
        <f t="shared" si="200"/>
        <v>1.1368468479330263</v>
      </c>
      <c r="N86" s="17">
        <f t="shared" si="201"/>
        <v>0.44888199364166581</v>
      </c>
      <c r="O86" s="17">
        <f t="shared" si="202"/>
        <v>0.17724051038538166</v>
      </c>
      <c r="P86" s="17">
        <f t="shared" si="203"/>
        <v>6.998380489437428E-2</v>
      </c>
      <c r="Q86" s="17">
        <f t="shared" si="204"/>
        <v>2.7634790030729516E-2</v>
      </c>
      <c r="R86" s="17">
        <f t="shared" si="205"/>
        <v>1.0916139285953971E-2</v>
      </c>
      <c r="S86" s="17">
        <f t="shared" si="206"/>
        <v>4.3218507802320477E-3</v>
      </c>
      <c r="T86" s="17">
        <f t="shared" si="207"/>
        <v>1.7359375522520964E-3</v>
      </c>
      <c r="U86" s="17">
        <f t="shared" si="208"/>
        <v>7.600496402729004E-4</v>
      </c>
      <c r="V86" s="17">
        <f t="shared" si="209"/>
        <v>4.8908291665620478E-4</v>
      </c>
      <c r="W86" s="17">
        <f t="shared" si="210"/>
        <v>6.7172460563384934E-4</v>
      </c>
      <c r="X86" s="17">
        <f t="shared" si="211"/>
        <v>1.4773689015013898E-3</v>
      </c>
      <c r="Y86" s="17">
        <f t="shared" si="212"/>
        <v>3.6532245447780673E-3</v>
      </c>
      <c r="Z86" s="17">
        <f t="shared" si="213"/>
        <v>9.217326495934524E-3</v>
      </c>
      <c r="AA86" s="17">
        <f t="shared" si="214"/>
        <v>2.3330197373165804E-2</v>
      </c>
      <c r="AB86" s="17">
        <f t="shared" si="215"/>
        <v>5.9081063435972983E-2</v>
      </c>
      <c r="AC86" s="17">
        <f t="shared" si="216"/>
        <v>0.14962768393404643</v>
      </c>
      <c r="AD86" s="17">
        <f t="shared" si="217"/>
        <v>0.37894908858022491</v>
      </c>
      <c r="AE86" s="17">
        <f t="shared" si="218"/>
        <v>0.95973338156478061</v>
      </c>
      <c r="AF86" s="17">
        <f t="shared" si="219"/>
        <v>2.4306390034679208</v>
      </c>
      <c r="AG86" s="17">
        <f t="shared" si="220"/>
        <v>6.1558828212152665</v>
      </c>
      <c r="AH86" s="17">
        <f t="shared" si="221"/>
        <v>15.590506663395326</v>
      </c>
      <c r="AI86" s="17">
        <f t="shared" si="222"/>
        <v>39.484815639283283</v>
      </c>
      <c r="AJ86" s="16">
        <f t="shared" si="164"/>
        <v>100</v>
      </c>
      <c r="AN86" s="35"/>
      <c r="AO86" s="24">
        <f t="shared" si="165"/>
        <v>-1076400000</v>
      </c>
      <c r="AP86" s="20">
        <f t="shared" si="166"/>
        <v>-425014555.52910089</v>
      </c>
      <c r="AQ86" s="20">
        <f t="shared" si="167"/>
        <v>-167816213.68923482</v>
      </c>
      <c r="AR86" s="20">
        <f t="shared" si="168"/>
        <v>-66261922.59562704</v>
      </c>
      <c r="AS86" s="20">
        <f t="shared" si="169"/>
        <v>-26163397.999747083</v>
      </c>
      <c r="AT86" s="20">
        <f t="shared" si="170"/>
        <v>-10330569.527294876</v>
      </c>
      <c r="AU86" s="20">
        <f t="shared" si="171"/>
        <v>-4079006.4903836981</v>
      </c>
      <c r="AV86" s="20">
        <f t="shared" si="172"/>
        <v>-1610588.5931862965</v>
      </c>
      <c r="AW86" s="20">
        <f t="shared" si="173"/>
        <v>-635938.95126274938</v>
      </c>
      <c r="AX86" s="20">
        <f t="shared" si="174"/>
        <v>-251101.89196101492</v>
      </c>
      <c r="AY86" s="20">
        <f t="shared" si="175"/>
        <v>-99153.62663025748</v>
      </c>
      <c r="AZ86" s="20">
        <f t="shared" si="176"/>
        <v>-39167.107758002843</v>
      </c>
      <c r="BA86" s="20">
        <f t="shared" si="177"/>
        <v>-15506.800599472585</v>
      </c>
      <c r="BB86" s="20">
        <f t="shared" si="178"/>
        <v>-6228.543937480521</v>
      </c>
      <c r="BC86" s="20">
        <f t="shared" si="179"/>
        <v>-2727.0581092991665</v>
      </c>
      <c r="BD86" s="20">
        <f t="shared" si="180"/>
        <v>-1754.8295049624628</v>
      </c>
      <c r="BE86" s="20">
        <f t="shared" si="181"/>
        <v>-2410.1478850142512</v>
      </c>
      <c r="BF86" s="20">
        <f t="shared" si="182"/>
        <v>-5300.7996185869861</v>
      </c>
      <c r="BG86" s="20">
        <f t="shared" si="183"/>
        <v>-13107.769666663704</v>
      </c>
      <c r="BH86" s="20">
        <f t="shared" si="184"/>
        <v>-33071.767467413069</v>
      </c>
      <c r="BI86" s="20">
        <f t="shared" si="185"/>
        <v>-83708.748174918903</v>
      </c>
      <c r="BJ86" s="20">
        <f t="shared" si="186"/>
        <v>-211982.85560827106</v>
      </c>
      <c r="BK86" s="20">
        <f t="shared" si="187"/>
        <v>-536864.12995535857</v>
      </c>
      <c r="BL86" s="20">
        <f t="shared" si="188"/>
        <v>-1359669.3298258467</v>
      </c>
      <c r="BM86" s="20">
        <f t="shared" si="189"/>
        <v>-3443523.3730544331</v>
      </c>
      <c r="BN86" s="20">
        <f t="shared" si="190"/>
        <v>-8721132.7444428988</v>
      </c>
      <c r="BO86" s="20">
        <f t="shared" si="191"/>
        <v>-22087307.562520377</v>
      </c>
      <c r="BP86" s="20">
        <f t="shared" si="192"/>
        <v>-55938737.908262424</v>
      </c>
      <c r="BQ86" s="20">
        <f t="shared" si="193"/>
        <v>-141671518.51374844</v>
      </c>
      <c r="BR86" s="24">
        <f t="shared" si="194"/>
        <v>-358800000</v>
      </c>
      <c r="BU86" s="37"/>
      <c r="BV86" s="24">
        <f t="shared" si="102"/>
        <v>0.39484815655420619</v>
      </c>
      <c r="BW86" s="20">
        <f t="shared" si="103"/>
        <v>0.39484815655420619</v>
      </c>
      <c r="BX86" s="20">
        <f t="shared" si="104"/>
        <v>0.39484815655420619</v>
      </c>
      <c r="BY86" s="20">
        <f t="shared" si="105"/>
        <v>0.39484815655420619</v>
      </c>
      <c r="BZ86" s="20">
        <f t="shared" si="106"/>
        <v>0.39484815655420619</v>
      </c>
      <c r="CA86" s="20">
        <f t="shared" si="107"/>
        <v>0.39484815655420619</v>
      </c>
      <c r="CB86" s="20">
        <f t="shared" si="108"/>
        <v>0.39484815655420619</v>
      </c>
      <c r="CC86" s="20">
        <f t="shared" si="109"/>
        <v>0.39484815655420619</v>
      </c>
      <c r="CD86" s="20">
        <f t="shared" si="110"/>
        <v>0.39484815655420619</v>
      </c>
      <c r="CE86" s="20">
        <f t="shared" si="111"/>
        <v>0.39484815655420619</v>
      </c>
      <c r="CF86" s="20">
        <f t="shared" si="112"/>
        <v>0.39484815655420619</v>
      </c>
      <c r="CG86" s="20">
        <f t="shared" si="113"/>
        <v>0.39484815655420619</v>
      </c>
      <c r="CH86" s="20">
        <f t="shared" si="114"/>
        <v>0.39484815655420619</v>
      </c>
      <c r="CI86" s="20">
        <f t="shared" si="115"/>
        <v>0.39484815655420619</v>
      </c>
      <c r="CJ86" s="20">
        <f t="shared" si="116"/>
        <v>0.39484815655420619</v>
      </c>
      <c r="CK86" s="20">
        <f t="shared" si="117"/>
        <v>0.39484815655420619</v>
      </c>
      <c r="CL86" s="20">
        <f t="shared" si="118"/>
        <v>0.39484815655420619</v>
      </c>
      <c r="CM86" s="20">
        <f t="shared" si="119"/>
        <v>0.39484815655420619</v>
      </c>
      <c r="CN86" s="20">
        <f t="shared" si="120"/>
        <v>0.39484815655420619</v>
      </c>
      <c r="CO86" s="20">
        <f t="shared" si="121"/>
        <v>0.39484815655420619</v>
      </c>
      <c r="CP86" s="20">
        <f t="shared" si="122"/>
        <v>0.39484815655420619</v>
      </c>
      <c r="CQ86" s="20">
        <f t="shared" si="123"/>
        <v>0.39484815655420619</v>
      </c>
      <c r="CR86" s="20">
        <f t="shared" si="124"/>
        <v>0.39484815655420619</v>
      </c>
      <c r="CS86" s="20">
        <f t="shared" si="125"/>
        <v>0.39484815655420619</v>
      </c>
      <c r="CT86" s="20">
        <f t="shared" si="126"/>
        <v>0.39484815655420619</v>
      </c>
      <c r="CU86" s="20">
        <f t="shared" si="127"/>
        <v>0.39484815655420619</v>
      </c>
      <c r="CV86" s="20">
        <f t="shared" si="128"/>
        <v>0.39484815655420619</v>
      </c>
      <c r="CW86" s="20">
        <f t="shared" si="129"/>
        <v>0.39484815655420619</v>
      </c>
      <c r="CX86" s="20">
        <f t="shared" si="130"/>
        <v>0.39484815655420619</v>
      </c>
      <c r="CY86" s="24">
        <f t="shared" si="131"/>
        <v>0.39484815655420619</v>
      </c>
      <c r="DB86" s="37"/>
      <c r="DC86" s="24">
        <f t="shared" si="132"/>
        <v>181.54555303373814</v>
      </c>
      <c r="DD86" s="20">
        <f t="shared" si="133"/>
        <v>71.682926914640504</v>
      </c>
      <c r="DE86" s="20">
        <f t="shared" si="134"/>
        <v>28.30387153682657</v>
      </c>
      <c r="DF86" s="20">
        <f t="shared" si="135"/>
        <v>11.175731496378539</v>
      </c>
      <c r="DG86" s="20">
        <f t="shared" si="136"/>
        <v>4.4127169817037188</v>
      </c>
      <c r="DH86" s="20">
        <f t="shared" si="137"/>
        <v>1.7423531753866883</v>
      </c>
      <c r="DI86" s="20">
        <f t="shared" si="138"/>
        <v>0.68796496574221089</v>
      </c>
      <c r="DJ86" s="20">
        <f t="shared" si="139"/>
        <v>0.27164176594187717</v>
      </c>
      <c r="DK86" s="20">
        <f t="shared" si="140"/>
        <v>0.10725742159298708</v>
      </c>
      <c r="DL86" s="20">
        <f t="shared" si="141"/>
        <v>4.2350828543181368E-2</v>
      </c>
      <c r="DM86" s="20">
        <f t="shared" si="142"/>
        <v>1.6723244130333409E-2</v>
      </c>
      <c r="DN86" s="20">
        <f t="shared" si="143"/>
        <v>6.6059218122060965E-3</v>
      </c>
      <c r="DO86" s="20">
        <f t="shared" si="144"/>
        <v>2.6153759667550658E-3</v>
      </c>
      <c r="DP86" s="20">
        <f t="shared" si="145"/>
        <v>1.0505058098521352E-3</v>
      </c>
      <c r="DQ86" s="20">
        <f t="shared" si="146"/>
        <v>4.5994544092145811E-4</v>
      </c>
      <c r="DR86" s="20">
        <f t="shared" si="147"/>
        <v>2.9596942861234786E-4</v>
      </c>
      <c r="DS86" s="20">
        <f t="shared" si="148"/>
        <v>4.0649538338722278E-4</v>
      </c>
      <c r="DT86" s="20">
        <f t="shared" si="149"/>
        <v>8.9403251419305338E-4</v>
      </c>
      <c r="DU86" s="20">
        <f t="shared" si="150"/>
        <v>2.2107555677938684E-3</v>
      </c>
      <c r="DV86" s="20">
        <f t="shared" si="151"/>
        <v>5.5778821206565353E-3</v>
      </c>
      <c r="DW86" s="20">
        <f t="shared" si="152"/>
        <v>1.4118311948325503E-2</v>
      </c>
      <c r="DX86" s="20">
        <f t="shared" si="153"/>
        <v>3.5753014451016932E-2</v>
      </c>
      <c r="DY86" s="20">
        <f t="shared" si="154"/>
        <v>9.0547468763212777E-2</v>
      </c>
      <c r="DZ86" s="20">
        <f t="shared" si="155"/>
        <v>0.22932173952642648</v>
      </c>
      <c r="EA86" s="20">
        <f t="shared" si="156"/>
        <v>0.58078442507039241</v>
      </c>
      <c r="EB86" s="20">
        <f t="shared" si="157"/>
        <v>1.4709056736998594</v>
      </c>
      <c r="EC86" s="20">
        <f t="shared" si="158"/>
        <v>3.725243837294713</v>
      </c>
      <c r="ED86" s="20">
        <f t="shared" si="159"/>
        <v>9.4346238476076127</v>
      </c>
      <c r="EE86" s="20">
        <f t="shared" si="160"/>
        <v>23.894308972229588</v>
      </c>
      <c r="EF86" s="24">
        <f t="shared" si="161"/>
        <v>60.515184344579389</v>
      </c>
    </row>
    <row r="87" spans="6:136" ht="15" customHeight="1" x14ac:dyDescent="0.25">
      <c r="F87" s="38"/>
      <c r="G87" s="16">
        <f t="shared" si="162"/>
        <v>300</v>
      </c>
      <c r="H87" s="17">
        <f t="shared" si="195"/>
        <v>118.45444691446514</v>
      </c>
      <c r="I87" s="17">
        <f t="shared" si="196"/>
        <v>46.771519980277276</v>
      </c>
      <c r="J87" s="17">
        <f t="shared" si="197"/>
        <v>18.467648438023144</v>
      </c>
      <c r="K87" s="17">
        <f t="shared" si="198"/>
        <v>7.2919169453029777</v>
      </c>
      <c r="L87" s="17">
        <f t="shared" si="199"/>
        <v>2.8791999797365877</v>
      </c>
      <c r="M87" s="17">
        <f t="shared" si="200"/>
        <v>1.1368468479330263</v>
      </c>
      <c r="N87" s="17">
        <f t="shared" si="201"/>
        <v>0.44888199364166581</v>
      </c>
      <c r="O87" s="17">
        <f t="shared" si="202"/>
        <v>0.17724051038538166</v>
      </c>
      <c r="P87" s="17">
        <f t="shared" si="203"/>
        <v>6.998380489437428E-2</v>
      </c>
      <c r="Q87" s="17">
        <f t="shared" si="204"/>
        <v>2.7634790030729512E-2</v>
      </c>
      <c r="R87" s="17">
        <f t="shared" si="205"/>
        <v>1.0916139285953971E-2</v>
      </c>
      <c r="S87" s="17">
        <f t="shared" si="206"/>
        <v>4.3218507802320477E-3</v>
      </c>
      <c r="T87" s="17">
        <f t="shared" si="207"/>
        <v>1.7359375522520964E-3</v>
      </c>
      <c r="U87" s="17">
        <f t="shared" si="208"/>
        <v>7.600496402729004E-4</v>
      </c>
      <c r="V87" s="17">
        <f t="shared" si="209"/>
        <v>4.8908291665620478E-4</v>
      </c>
      <c r="W87" s="17">
        <f t="shared" si="210"/>
        <v>6.7172460563384934E-4</v>
      </c>
      <c r="X87" s="17">
        <f t="shared" si="211"/>
        <v>1.4773689015013898E-3</v>
      </c>
      <c r="Y87" s="17">
        <f t="shared" si="212"/>
        <v>3.6532245447780669E-3</v>
      </c>
      <c r="Z87" s="17">
        <f t="shared" si="213"/>
        <v>9.217326495934524E-3</v>
      </c>
      <c r="AA87" s="17">
        <f t="shared" si="214"/>
        <v>2.3330197373165804E-2</v>
      </c>
      <c r="AB87" s="17">
        <f t="shared" si="215"/>
        <v>5.9081063435972983E-2</v>
      </c>
      <c r="AC87" s="17">
        <f t="shared" si="216"/>
        <v>0.14962768393404643</v>
      </c>
      <c r="AD87" s="17">
        <f t="shared" si="217"/>
        <v>0.37894908858022491</v>
      </c>
      <c r="AE87" s="17">
        <f t="shared" si="218"/>
        <v>0.95973338156478072</v>
      </c>
      <c r="AF87" s="17">
        <f t="shared" si="219"/>
        <v>2.4306390034679208</v>
      </c>
      <c r="AG87" s="17">
        <f t="shared" si="220"/>
        <v>6.1558828212152674</v>
      </c>
      <c r="AH87" s="17">
        <f t="shared" si="221"/>
        <v>15.590506663395326</v>
      </c>
      <c r="AI87" s="17">
        <f t="shared" si="222"/>
        <v>39.484815639283283</v>
      </c>
      <c r="AJ87" s="16">
        <f t="shared" si="164"/>
        <v>100</v>
      </c>
      <c r="AN87" s="35"/>
      <c r="AO87" s="24">
        <f t="shared" si="165"/>
        <v>-1076400000</v>
      </c>
      <c r="AP87" s="20">
        <f t="shared" si="166"/>
        <v>-425014555.52910089</v>
      </c>
      <c r="AQ87" s="20">
        <f t="shared" si="167"/>
        <v>-167816213.68923482</v>
      </c>
      <c r="AR87" s="20">
        <f t="shared" si="168"/>
        <v>-66261922.59562704</v>
      </c>
      <c r="AS87" s="20">
        <f t="shared" si="169"/>
        <v>-26163397.999747083</v>
      </c>
      <c r="AT87" s="20">
        <f t="shared" si="170"/>
        <v>-10330569.527294876</v>
      </c>
      <c r="AU87" s="20">
        <f t="shared" si="171"/>
        <v>-4079006.4903836981</v>
      </c>
      <c r="AV87" s="20">
        <f t="shared" si="172"/>
        <v>-1610588.5931862965</v>
      </c>
      <c r="AW87" s="20">
        <f t="shared" si="173"/>
        <v>-635938.95126274938</v>
      </c>
      <c r="AX87" s="20">
        <f t="shared" si="174"/>
        <v>-251101.89196101492</v>
      </c>
      <c r="AY87" s="20">
        <f t="shared" si="175"/>
        <v>-99153.62663025748</v>
      </c>
      <c r="AZ87" s="20">
        <f t="shared" si="176"/>
        <v>-39167.107758002843</v>
      </c>
      <c r="BA87" s="20">
        <f t="shared" si="177"/>
        <v>-15506.800599472585</v>
      </c>
      <c r="BB87" s="20">
        <f t="shared" si="178"/>
        <v>-6228.543937480521</v>
      </c>
      <c r="BC87" s="20">
        <f t="shared" si="179"/>
        <v>-2727.0581092991665</v>
      </c>
      <c r="BD87" s="20">
        <f t="shared" si="180"/>
        <v>-1754.8295049624628</v>
      </c>
      <c r="BE87" s="20">
        <f t="shared" si="181"/>
        <v>-2410.1478850142512</v>
      </c>
      <c r="BF87" s="20">
        <f t="shared" si="182"/>
        <v>-5300.7996185869861</v>
      </c>
      <c r="BG87" s="20">
        <f t="shared" si="183"/>
        <v>-13107.769666663704</v>
      </c>
      <c r="BH87" s="20">
        <f t="shared" si="184"/>
        <v>-33071.767467413069</v>
      </c>
      <c r="BI87" s="20">
        <f t="shared" si="185"/>
        <v>-83708.748174918903</v>
      </c>
      <c r="BJ87" s="20">
        <f t="shared" si="186"/>
        <v>-211982.85560827106</v>
      </c>
      <c r="BK87" s="20">
        <f t="shared" si="187"/>
        <v>-536864.12995535857</v>
      </c>
      <c r="BL87" s="20">
        <f t="shared" si="188"/>
        <v>-1359669.3298258467</v>
      </c>
      <c r="BM87" s="20">
        <f t="shared" si="189"/>
        <v>-3443523.3730544331</v>
      </c>
      <c r="BN87" s="20">
        <f t="shared" si="190"/>
        <v>-8721132.7444428988</v>
      </c>
      <c r="BO87" s="20">
        <f t="shared" si="191"/>
        <v>-22087307.562520377</v>
      </c>
      <c r="BP87" s="20">
        <f t="shared" si="192"/>
        <v>-55938737.908262424</v>
      </c>
      <c r="BQ87" s="20">
        <f t="shared" si="193"/>
        <v>-141671518.51374844</v>
      </c>
      <c r="BR87" s="24">
        <f t="shared" si="194"/>
        <v>-358800000</v>
      </c>
      <c r="BU87" s="37"/>
      <c r="BV87" s="24">
        <f t="shared" si="102"/>
        <v>0.39484815749662749</v>
      </c>
      <c r="BW87" s="20">
        <f t="shared" si="103"/>
        <v>0.39484815749662749</v>
      </c>
      <c r="BX87" s="20">
        <f t="shared" si="104"/>
        <v>0.39484815749662749</v>
      </c>
      <c r="BY87" s="20">
        <f t="shared" si="105"/>
        <v>0.39484815749662749</v>
      </c>
      <c r="BZ87" s="20">
        <f t="shared" si="106"/>
        <v>0.39484815749662749</v>
      </c>
      <c r="CA87" s="20">
        <f t="shared" si="107"/>
        <v>0.39484815749662749</v>
      </c>
      <c r="CB87" s="20">
        <f t="shared" si="108"/>
        <v>0.39484815749662749</v>
      </c>
      <c r="CC87" s="20">
        <f t="shared" si="109"/>
        <v>0.39484815749662749</v>
      </c>
      <c r="CD87" s="20">
        <f t="shared" si="110"/>
        <v>0.39484815749662749</v>
      </c>
      <c r="CE87" s="20">
        <f t="shared" si="111"/>
        <v>0.39484815749662749</v>
      </c>
      <c r="CF87" s="20">
        <f t="shared" si="112"/>
        <v>0.39484815749662749</v>
      </c>
      <c r="CG87" s="20">
        <f t="shared" si="113"/>
        <v>0.39484815749662749</v>
      </c>
      <c r="CH87" s="20">
        <f t="shared" si="114"/>
        <v>0.39484815749662749</v>
      </c>
      <c r="CI87" s="20">
        <f t="shared" si="115"/>
        <v>0.39484815749662749</v>
      </c>
      <c r="CJ87" s="20">
        <f t="shared" si="116"/>
        <v>0.39484815749662749</v>
      </c>
      <c r="CK87" s="20">
        <f t="shared" si="117"/>
        <v>0.39484815749662749</v>
      </c>
      <c r="CL87" s="20">
        <f t="shared" si="118"/>
        <v>0.39484815749662749</v>
      </c>
      <c r="CM87" s="20">
        <f t="shared" si="119"/>
        <v>0.39484815749662749</v>
      </c>
      <c r="CN87" s="20">
        <f t="shared" si="120"/>
        <v>0.39484815749662749</v>
      </c>
      <c r="CO87" s="20">
        <f t="shared" si="121"/>
        <v>0.39484815749662749</v>
      </c>
      <c r="CP87" s="20">
        <f t="shared" si="122"/>
        <v>0.39484815749662749</v>
      </c>
      <c r="CQ87" s="20">
        <f t="shared" si="123"/>
        <v>0.39484815749662749</v>
      </c>
      <c r="CR87" s="20">
        <f t="shared" si="124"/>
        <v>0.39484815749662749</v>
      </c>
      <c r="CS87" s="20">
        <f t="shared" si="125"/>
        <v>0.39484815749662749</v>
      </c>
      <c r="CT87" s="20">
        <f t="shared" si="126"/>
        <v>0.39484815749662749</v>
      </c>
      <c r="CU87" s="20">
        <f t="shared" si="127"/>
        <v>0.39484815749662749</v>
      </c>
      <c r="CV87" s="20">
        <f t="shared" si="128"/>
        <v>0.39484815749662749</v>
      </c>
      <c r="CW87" s="20">
        <f t="shared" si="129"/>
        <v>0.39484815749662749</v>
      </c>
      <c r="CX87" s="20">
        <f t="shared" si="130"/>
        <v>0.39484815749662749</v>
      </c>
      <c r="CY87" s="24">
        <f t="shared" si="131"/>
        <v>0.39484815749662749</v>
      </c>
      <c r="DB87" s="37"/>
      <c r="DC87" s="24">
        <f t="shared" si="132"/>
        <v>181.54555275101174</v>
      </c>
      <c r="DD87" s="20">
        <f t="shared" si="133"/>
        <v>71.682926803006509</v>
      </c>
      <c r="DE87" s="20">
        <f t="shared" si="134"/>
        <v>28.30387149274809</v>
      </c>
      <c r="DF87" s="20">
        <f t="shared" si="135"/>
        <v>11.175731478974235</v>
      </c>
      <c r="DG87" s="20">
        <f t="shared" si="136"/>
        <v>4.4127169748316604</v>
      </c>
      <c r="DH87" s="20">
        <f t="shared" si="137"/>
        <v>1.7423531726732688</v>
      </c>
      <c r="DI87" s="20">
        <f t="shared" si="138"/>
        <v>0.68796496467082224</v>
      </c>
      <c r="DJ87" s="20">
        <f t="shared" si="139"/>
        <v>0.27164176551884117</v>
      </c>
      <c r="DK87" s="20">
        <f t="shared" si="140"/>
        <v>0.10725742142595185</v>
      </c>
      <c r="DL87" s="20">
        <f t="shared" si="141"/>
        <v>4.235082847722714E-2</v>
      </c>
      <c r="DM87" s="20">
        <f t="shared" si="142"/>
        <v>1.6723244104289794E-2</v>
      </c>
      <c r="DN87" s="20">
        <f t="shared" si="143"/>
        <v>6.6059218019184941E-3</v>
      </c>
      <c r="DO87" s="20">
        <f t="shared" si="144"/>
        <v>2.6153759626820617E-3</v>
      </c>
      <c r="DP87" s="20">
        <f t="shared" si="145"/>
        <v>1.0505058082161507E-3</v>
      </c>
      <c r="DQ87" s="20">
        <f t="shared" si="146"/>
        <v>4.5994544020517116E-4</v>
      </c>
      <c r="DR87" s="20">
        <f t="shared" si="147"/>
        <v>2.959694281514257E-4</v>
      </c>
      <c r="DS87" s="20">
        <f t="shared" si="148"/>
        <v>4.0649538275417519E-4</v>
      </c>
      <c r="DT87" s="20">
        <f t="shared" si="149"/>
        <v>8.9403251280074946E-4</v>
      </c>
      <c r="DU87" s="20">
        <f t="shared" si="150"/>
        <v>2.2107555643509913E-3</v>
      </c>
      <c r="DV87" s="20">
        <f t="shared" si="151"/>
        <v>5.5778821119699309E-3</v>
      </c>
      <c r="DW87" s="20">
        <f t="shared" si="152"/>
        <v>1.4118311926338627E-2</v>
      </c>
      <c r="DX87" s="20">
        <f t="shared" si="153"/>
        <v>3.5753014395337679E-2</v>
      </c>
      <c r="DY87" s="20">
        <f t="shared" si="154"/>
        <v>9.0547468622200464E-2</v>
      </c>
      <c r="DZ87" s="20">
        <f t="shared" si="155"/>
        <v>0.22932173916929682</v>
      </c>
      <c r="EA87" s="20">
        <f t="shared" si="156"/>
        <v>0.58078442416591936</v>
      </c>
      <c r="EB87" s="20">
        <f t="shared" si="157"/>
        <v>1.4709056714091735</v>
      </c>
      <c r="EC87" s="20">
        <f t="shared" si="158"/>
        <v>3.7252438314932781</v>
      </c>
      <c r="ED87" s="20">
        <f t="shared" si="159"/>
        <v>9.434623832914788</v>
      </c>
      <c r="EE87" s="20">
        <f t="shared" si="160"/>
        <v>23.894308935018259</v>
      </c>
      <c r="EF87" s="24">
        <f t="shared" si="161"/>
        <v>60.515184250337256</v>
      </c>
    </row>
    <row r="88" spans="6:136" ht="15" customHeight="1" x14ac:dyDescent="0.25">
      <c r="F88" s="38"/>
      <c r="G88" s="16">
        <f t="shared" si="162"/>
        <v>300</v>
      </c>
      <c r="H88" s="17">
        <f t="shared" si="195"/>
        <v>118.45444691446514</v>
      </c>
      <c r="I88" s="17">
        <f t="shared" si="196"/>
        <v>46.771519980277276</v>
      </c>
      <c r="J88" s="17">
        <f t="shared" si="197"/>
        <v>18.467648438023147</v>
      </c>
      <c r="K88" s="17">
        <f t="shared" si="198"/>
        <v>7.2919169453029777</v>
      </c>
      <c r="L88" s="17">
        <f t="shared" si="199"/>
        <v>2.8791999797365877</v>
      </c>
      <c r="M88" s="17">
        <f t="shared" si="200"/>
        <v>1.1368468479330263</v>
      </c>
      <c r="N88" s="17">
        <f t="shared" si="201"/>
        <v>0.44888199364166581</v>
      </c>
      <c r="O88" s="17">
        <f t="shared" si="202"/>
        <v>0.17724051038538169</v>
      </c>
      <c r="P88" s="17">
        <f t="shared" si="203"/>
        <v>6.9983804894374294E-2</v>
      </c>
      <c r="Q88" s="17">
        <f t="shared" si="204"/>
        <v>2.7634790030729512E-2</v>
      </c>
      <c r="R88" s="17">
        <f t="shared" si="205"/>
        <v>1.0916139285953971E-2</v>
      </c>
      <c r="S88" s="17">
        <f t="shared" si="206"/>
        <v>4.3218507802320477E-3</v>
      </c>
      <c r="T88" s="17">
        <f t="shared" si="207"/>
        <v>1.7359375522520964E-3</v>
      </c>
      <c r="U88" s="17">
        <f t="shared" si="208"/>
        <v>7.6004964027290051E-4</v>
      </c>
      <c r="V88" s="17">
        <f t="shared" si="209"/>
        <v>4.8908291665620478E-4</v>
      </c>
      <c r="W88" s="17">
        <f t="shared" si="210"/>
        <v>6.7172460563384934E-4</v>
      </c>
      <c r="X88" s="17">
        <f t="shared" si="211"/>
        <v>1.4773689015013898E-3</v>
      </c>
      <c r="Y88" s="17">
        <f t="shared" si="212"/>
        <v>3.6532245447780673E-3</v>
      </c>
      <c r="Z88" s="17">
        <f t="shared" si="213"/>
        <v>9.217326495934524E-3</v>
      </c>
      <c r="AA88" s="17">
        <f t="shared" si="214"/>
        <v>2.3330197373165808E-2</v>
      </c>
      <c r="AB88" s="17">
        <f t="shared" si="215"/>
        <v>5.9081063435972983E-2</v>
      </c>
      <c r="AC88" s="17">
        <f t="shared" si="216"/>
        <v>0.14962768393404643</v>
      </c>
      <c r="AD88" s="17">
        <f t="shared" si="217"/>
        <v>0.37894908858022491</v>
      </c>
      <c r="AE88" s="17">
        <f t="shared" si="218"/>
        <v>0.95973338156478083</v>
      </c>
      <c r="AF88" s="17">
        <f t="shared" si="219"/>
        <v>2.4306390034679208</v>
      </c>
      <c r="AG88" s="17">
        <f t="shared" si="220"/>
        <v>6.1558828212152683</v>
      </c>
      <c r="AH88" s="17">
        <f t="shared" si="221"/>
        <v>15.590506663395324</v>
      </c>
      <c r="AI88" s="17">
        <f t="shared" si="222"/>
        <v>39.484815639283291</v>
      </c>
      <c r="AJ88" s="16">
        <f t="shared" si="164"/>
        <v>100</v>
      </c>
      <c r="AN88" s="35"/>
      <c r="AO88" s="24">
        <f t="shared" si="165"/>
        <v>-1076400000</v>
      </c>
      <c r="AP88" s="20">
        <f t="shared" si="166"/>
        <v>-425014555.52910089</v>
      </c>
      <c r="AQ88" s="20">
        <f t="shared" si="167"/>
        <v>-167816213.68923482</v>
      </c>
      <c r="AR88" s="20">
        <f t="shared" si="168"/>
        <v>-66261922.59562704</v>
      </c>
      <c r="AS88" s="20">
        <f t="shared" si="169"/>
        <v>-26163397.999747083</v>
      </c>
      <c r="AT88" s="20">
        <f t="shared" si="170"/>
        <v>-10330569.527294876</v>
      </c>
      <c r="AU88" s="20">
        <f t="shared" si="171"/>
        <v>-4079006.4903836981</v>
      </c>
      <c r="AV88" s="20">
        <f t="shared" si="172"/>
        <v>-1610588.5931862965</v>
      </c>
      <c r="AW88" s="20">
        <f t="shared" si="173"/>
        <v>-635938.95126274938</v>
      </c>
      <c r="AX88" s="20">
        <f t="shared" si="174"/>
        <v>-251101.89196101492</v>
      </c>
      <c r="AY88" s="20">
        <f t="shared" si="175"/>
        <v>-99153.62663025748</v>
      </c>
      <c r="AZ88" s="20">
        <f t="shared" si="176"/>
        <v>-39167.107758002843</v>
      </c>
      <c r="BA88" s="20">
        <f t="shared" si="177"/>
        <v>-15506.800599472585</v>
      </c>
      <c r="BB88" s="20">
        <f t="shared" si="178"/>
        <v>-6228.543937480521</v>
      </c>
      <c r="BC88" s="20">
        <f t="shared" si="179"/>
        <v>-2727.0581092991665</v>
      </c>
      <c r="BD88" s="20">
        <f t="shared" si="180"/>
        <v>-1754.8295049624628</v>
      </c>
      <c r="BE88" s="20">
        <f t="shared" si="181"/>
        <v>-2410.1478850142512</v>
      </c>
      <c r="BF88" s="20">
        <f t="shared" si="182"/>
        <v>-5300.7996185869861</v>
      </c>
      <c r="BG88" s="20">
        <f t="shared" si="183"/>
        <v>-13107.769666663704</v>
      </c>
      <c r="BH88" s="20">
        <f t="shared" si="184"/>
        <v>-33071.767467413069</v>
      </c>
      <c r="BI88" s="20">
        <f t="shared" si="185"/>
        <v>-83708.748174918903</v>
      </c>
      <c r="BJ88" s="20">
        <f t="shared" si="186"/>
        <v>-211982.85560827106</v>
      </c>
      <c r="BK88" s="20">
        <f t="shared" si="187"/>
        <v>-536864.12995535857</v>
      </c>
      <c r="BL88" s="20">
        <f t="shared" si="188"/>
        <v>-1359669.3298258467</v>
      </c>
      <c r="BM88" s="20">
        <f t="shared" si="189"/>
        <v>-3443523.3730544331</v>
      </c>
      <c r="BN88" s="20">
        <f t="shared" si="190"/>
        <v>-8721132.7444428988</v>
      </c>
      <c r="BO88" s="20">
        <f t="shared" si="191"/>
        <v>-22087307.562520377</v>
      </c>
      <c r="BP88" s="20">
        <f t="shared" si="192"/>
        <v>-55938737.908262424</v>
      </c>
      <c r="BQ88" s="20">
        <f t="shared" si="193"/>
        <v>-141671518.51374844</v>
      </c>
      <c r="BR88" s="24">
        <f t="shared" si="194"/>
        <v>-358800000</v>
      </c>
      <c r="BU88" s="37"/>
      <c r="BV88" s="24">
        <f t="shared" si="102"/>
        <v>0.39484816354146846</v>
      </c>
      <c r="BW88" s="20">
        <f t="shared" si="103"/>
        <v>0.39484816354146846</v>
      </c>
      <c r="BX88" s="20">
        <f t="shared" si="104"/>
        <v>0.39484816354146846</v>
      </c>
      <c r="BY88" s="20">
        <f t="shared" si="105"/>
        <v>0.39484816354146846</v>
      </c>
      <c r="BZ88" s="20">
        <f t="shared" si="106"/>
        <v>0.39484816354146846</v>
      </c>
      <c r="CA88" s="20">
        <f t="shared" si="107"/>
        <v>0.39484816354146846</v>
      </c>
      <c r="CB88" s="20">
        <f t="shared" si="108"/>
        <v>0.39484816354146846</v>
      </c>
      <c r="CC88" s="20">
        <f t="shared" si="109"/>
        <v>0.39484816354146846</v>
      </c>
      <c r="CD88" s="20">
        <f t="shared" si="110"/>
        <v>0.39484816354146846</v>
      </c>
      <c r="CE88" s="20">
        <f t="shared" si="111"/>
        <v>0.39484816354146846</v>
      </c>
      <c r="CF88" s="20">
        <f t="shared" si="112"/>
        <v>0.39484816354146846</v>
      </c>
      <c r="CG88" s="20">
        <f t="shared" si="113"/>
        <v>0.39484816354146846</v>
      </c>
      <c r="CH88" s="20">
        <f t="shared" si="114"/>
        <v>0.39484816354146846</v>
      </c>
      <c r="CI88" s="20">
        <f t="shared" si="115"/>
        <v>0.39484816354146846</v>
      </c>
      <c r="CJ88" s="20">
        <f t="shared" si="116"/>
        <v>0.39484816354146846</v>
      </c>
      <c r="CK88" s="20">
        <f t="shared" si="117"/>
        <v>0.39484816354146846</v>
      </c>
      <c r="CL88" s="20">
        <f t="shared" si="118"/>
        <v>0.39484816354146846</v>
      </c>
      <c r="CM88" s="20">
        <f t="shared" si="119"/>
        <v>0.39484816354146846</v>
      </c>
      <c r="CN88" s="20">
        <f t="shared" si="120"/>
        <v>0.39484816354146846</v>
      </c>
      <c r="CO88" s="20">
        <f t="shared" si="121"/>
        <v>0.39484816354146846</v>
      </c>
      <c r="CP88" s="20">
        <f t="shared" si="122"/>
        <v>0.39484816354146846</v>
      </c>
      <c r="CQ88" s="20">
        <f t="shared" si="123"/>
        <v>0.39484816354146846</v>
      </c>
      <c r="CR88" s="20">
        <f t="shared" si="124"/>
        <v>0.39484816354146846</v>
      </c>
      <c r="CS88" s="20">
        <f t="shared" si="125"/>
        <v>0.39484816354146846</v>
      </c>
      <c r="CT88" s="20">
        <f t="shared" si="126"/>
        <v>0.39484816354146846</v>
      </c>
      <c r="CU88" s="20">
        <f t="shared" si="127"/>
        <v>0.39484816354146846</v>
      </c>
      <c r="CV88" s="20">
        <f t="shared" si="128"/>
        <v>0.39484816354146846</v>
      </c>
      <c r="CW88" s="20">
        <f t="shared" si="129"/>
        <v>0.39484816354146846</v>
      </c>
      <c r="CX88" s="20">
        <f t="shared" si="130"/>
        <v>0.39484816354146846</v>
      </c>
      <c r="CY88" s="24">
        <f t="shared" si="131"/>
        <v>0.39484816354146846</v>
      </c>
      <c r="DB88" s="37"/>
      <c r="DC88" s="24">
        <f t="shared" si="132"/>
        <v>181.54555093755948</v>
      </c>
      <c r="DD88" s="20">
        <f t="shared" si="133"/>
        <v>71.682926086968223</v>
      </c>
      <c r="DE88" s="20">
        <f t="shared" si="134"/>
        <v>28.303871210021693</v>
      </c>
      <c r="DF88" s="20">
        <f t="shared" si="135"/>
        <v>11.175731367340239</v>
      </c>
      <c r="DG88" s="20">
        <f t="shared" si="136"/>
        <v>4.4127169307531826</v>
      </c>
      <c r="DH88" s="20">
        <f t="shared" si="137"/>
        <v>1.7423531552689631</v>
      </c>
      <c r="DI88" s="20">
        <f t="shared" si="138"/>
        <v>0.68796495779876388</v>
      </c>
      <c r="DJ88" s="20">
        <f t="shared" si="139"/>
        <v>0.27164176280542091</v>
      </c>
      <c r="DK88" s="20">
        <f t="shared" si="140"/>
        <v>0.10725742035456116</v>
      </c>
      <c r="DL88" s="20">
        <f t="shared" si="141"/>
        <v>4.2350828054186176E-2</v>
      </c>
      <c r="DM88" s="20">
        <f t="shared" si="142"/>
        <v>1.6723243937241884E-2</v>
      </c>
      <c r="DN88" s="20">
        <f t="shared" si="143"/>
        <v>6.6059217359321692E-3</v>
      </c>
      <c r="DO88" s="20">
        <f t="shared" si="144"/>
        <v>2.6153759365571613E-3</v>
      </c>
      <c r="DP88" s="20">
        <f t="shared" si="145"/>
        <v>1.0505057977226843E-3</v>
      </c>
      <c r="DQ88" s="20">
        <f t="shared" si="146"/>
        <v>4.5994543561079203E-4</v>
      </c>
      <c r="DR88" s="20">
        <f t="shared" si="147"/>
        <v>2.9596942519499731E-4</v>
      </c>
      <c r="DS88" s="20">
        <f t="shared" si="148"/>
        <v>4.0649537869370681E-4</v>
      </c>
      <c r="DT88" s="20">
        <f t="shared" si="149"/>
        <v>8.9403250387028958E-4</v>
      </c>
      <c r="DU88" s="20">
        <f t="shared" si="150"/>
        <v>2.2107555422678305E-3</v>
      </c>
      <c r="DV88" s="20">
        <f t="shared" si="151"/>
        <v>5.5778820562526589E-3</v>
      </c>
      <c r="DW88" s="20">
        <f t="shared" si="152"/>
        <v>1.4118311785311298E-2</v>
      </c>
      <c r="DX88" s="20">
        <f t="shared" si="153"/>
        <v>3.5753014038202052E-2</v>
      </c>
      <c r="DY88" s="20">
        <f t="shared" si="154"/>
        <v>9.0547467717724914E-2</v>
      </c>
      <c r="DZ88" s="20">
        <f t="shared" si="155"/>
        <v>0.22932173687860988</v>
      </c>
      <c r="EA88" s="20">
        <f t="shared" si="156"/>
        <v>0.58078441836448369</v>
      </c>
      <c r="EB88" s="20">
        <f t="shared" si="157"/>
        <v>1.4709056567163474</v>
      </c>
      <c r="EC88" s="20">
        <f t="shared" si="158"/>
        <v>3.7252437942819459</v>
      </c>
      <c r="ED88" s="20">
        <f t="shared" si="159"/>
        <v>9.4346237386726539</v>
      </c>
      <c r="EE88" s="20">
        <f t="shared" si="160"/>
        <v>23.894308696338832</v>
      </c>
      <c r="EF88" s="24">
        <f t="shared" si="161"/>
        <v>60.515183645853163</v>
      </c>
    </row>
    <row r="89" spans="6:136" ht="15" customHeight="1" x14ac:dyDescent="0.25">
      <c r="F89" s="38"/>
      <c r="G89" s="16">
        <f t="shared" si="162"/>
        <v>300</v>
      </c>
      <c r="H89" s="17">
        <f t="shared" si="195"/>
        <v>118.45444691446514</v>
      </c>
      <c r="I89" s="17">
        <f t="shared" si="196"/>
        <v>46.771519980277276</v>
      </c>
      <c r="J89" s="17">
        <f t="shared" si="197"/>
        <v>18.467648438023147</v>
      </c>
      <c r="K89" s="17">
        <f t="shared" si="198"/>
        <v>7.2919169453029786</v>
      </c>
      <c r="L89" s="17">
        <f t="shared" si="199"/>
        <v>2.8791999797365877</v>
      </c>
      <c r="M89" s="17">
        <f t="shared" si="200"/>
        <v>1.1368468479330263</v>
      </c>
      <c r="N89" s="17">
        <f t="shared" si="201"/>
        <v>0.44888199364166581</v>
      </c>
      <c r="O89" s="17">
        <f t="shared" si="202"/>
        <v>0.17724051038538169</v>
      </c>
      <c r="P89" s="17">
        <f t="shared" si="203"/>
        <v>6.9983804894374294E-2</v>
      </c>
      <c r="Q89" s="17">
        <f t="shared" si="204"/>
        <v>2.7634790030729512E-2</v>
      </c>
      <c r="R89" s="17">
        <f t="shared" si="205"/>
        <v>1.0916139285953971E-2</v>
      </c>
      <c r="S89" s="17">
        <f t="shared" si="206"/>
        <v>4.3218507802320477E-3</v>
      </c>
      <c r="T89" s="17">
        <f t="shared" si="207"/>
        <v>1.7359375522520964E-3</v>
      </c>
      <c r="U89" s="17">
        <f t="shared" si="208"/>
        <v>7.6004964027290051E-4</v>
      </c>
      <c r="V89" s="17">
        <f t="shared" si="209"/>
        <v>4.8908291665620478E-4</v>
      </c>
      <c r="W89" s="17">
        <f t="shared" si="210"/>
        <v>6.7172460563384934E-4</v>
      </c>
      <c r="X89" s="17">
        <f t="shared" si="211"/>
        <v>1.4773689015013898E-3</v>
      </c>
      <c r="Y89" s="17">
        <f t="shared" si="212"/>
        <v>3.6532245447780673E-3</v>
      </c>
      <c r="Z89" s="17">
        <f t="shared" si="213"/>
        <v>9.217326495934524E-3</v>
      </c>
      <c r="AA89" s="17">
        <f t="shared" si="214"/>
        <v>2.3330197373165808E-2</v>
      </c>
      <c r="AB89" s="17">
        <f t="shared" si="215"/>
        <v>5.9081063435972983E-2</v>
      </c>
      <c r="AC89" s="17">
        <f t="shared" si="216"/>
        <v>0.14962768393404643</v>
      </c>
      <c r="AD89" s="17">
        <f t="shared" si="217"/>
        <v>0.37894908858022491</v>
      </c>
      <c r="AE89" s="17">
        <f t="shared" si="218"/>
        <v>0.95973338156478083</v>
      </c>
      <c r="AF89" s="17">
        <f t="shared" si="219"/>
        <v>2.4306390034679208</v>
      </c>
      <c r="AG89" s="17">
        <f t="shared" si="220"/>
        <v>6.1558828212152683</v>
      </c>
      <c r="AH89" s="17">
        <f t="shared" si="221"/>
        <v>15.590506663395326</v>
      </c>
      <c r="AI89" s="17">
        <f t="shared" si="222"/>
        <v>39.484815639283291</v>
      </c>
      <c r="AJ89" s="16">
        <f t="shared" si="164"/>
        <v>100</v>
      </c>
      <c r="AN89" s="35"/>
      <c r="AO89" s="24">
        <f t="shared" si="165"/>
        <v>-1076400000</v>
      </c>
      <c r="AP89" s="20">
        <f t="shared" si="166"/>
        <v>-425014555.52910089</v>
      </c>
      <c r="AQ89" s="20">
        <f t="shared" si="167"/>
        <v>-167816213.68923482</v>
      </c>
      <c r="AR89" s="20">
        <f t="shared" si="168"/>
        <v>-66261922.59562704</v>
      </c>
      <c r="AS89" s="20">
        <f t="shared" si="169"/>
        <v>-26163397.999747083</v>
      </c>
      <c r="AT89" s="20">
        <f t="shared" si="170"/>
        <v>-10330569.527294876</v>
      </c>
      <c r="AU89" s="20">
        <f t="shared" si="171"/>
        <v>-4079006.4903836981</v>
      </c>
      <c r="AV89" s="20">
        <f t="shared" si="172"/>
        <v>-1610588.5931862965</v>
      </c>
      <c r="AW89" s="20">
        <f t="shared" si="173"/>
        <v>-635938.95126274938</v>
      </c>
      <c r="AX89" s="20">
        <f t="shared" si="174"/>
        <v>-251101.89196101492</v>
      </c>
      <c r="AY89" s="20">
        <f t="shared" si="175"/>
        <v>-99153.62663025748</v>
      </c>
      <c r="AZ89" s="20">
        <f t="shared" si="176"/>
        <v>-39167.107758002843</v>
      </c>
      <c r="BA89" s="20">
        <f t="shared" si="177"/>
        <v>-15506.800599472585</v>
      </c>
      <c r="BB89" s="20">
        <f t="shared" si="178"/>
        <v>-6228.543937480521</v>
      </c>
      <c r="BC89" s="20">
        <f t="shared" si="179"/>
        <v>-2727.0581092991665</v>
      </c>
      <c r="BD89" s="20">
        <f t="shared" si="180"/>
        <v>-1754.8295049624628</v>
      </c>
      <c r="BE89" s="20">
        <f t="shared" si="181"/>
        <v>-2410.1478850142512</v>
      </c>
      <c r="BF89" s="20">
        <f t="shared" si="182"/>
        <v>-5300.7996185869861</v>
      </c>
      <c r="BG89" s="20">
        <f t="shared" si="183"/>
        <v>-13107.769666663704</v>
      </c>
      <c r="BH89" s="20">
        <f t="shared" si="184"/>
        <v>-33071.767467413069</v>
      </c>
      <c r="BI89" s="20">
        <f t="shared" si="185"/>
        <v>-83708.748174918903</v>
      </c>
      <c r="BJ89" s="20">
        <f t="shared" si="186"/>
        <v>-211982.85560827106</v>
      </c>
      <c r="BK89" s="20">
        <f t="shared" si="187"/>
        <v>-536864.12995535857</v>
      </c>
      <c r="BL89" s="20">
        <f t="shared" si="188"/>
        <v>-1359669.3298258467</v>
      </c>
      <c r="BM89" s="20">
        <f t="shared" si="189"/>
        <v>-3443523.3730544331</v>
      </c>
      <c r="BN89" s="20">
        <f t="shared" si="190"/>
        <v>-8721132.7444428988</v>
      </c>
      <c r="BO89" s="20">
        <f t="shared" si="191"/>
        <v>-22087307.562520377</v>
      </c>
      <c r="BP89" s="20">
        <f t="shared" si="192"/>
        <v>-55938737.908262424</v>
      </c>
      <c r="BQ89" s="20">
        <f t="shared" si="193"/>
        <v>-141671518.51374844</v>
      </c>
      <c r="BR89" s="24">
        <f t="shared" si="194"/>
        <v>-358800000</v>
      </c>
      <c r="BU89" s="37"/>
      <c r="BV89" s="24">
        <f t="shared" si="102"/>
        <v>0.39484820231404288</v>
      </c>
      <c r="BW89" s="20">
        <f t="shared" si="103"/>
        <v>0.39484820231404288</v>
      </c>
      <c r="BX89" s="20">
        <f t="shared" si="104"/>
        <v>0.39484820231404288</v>
      </c>
      <c r="BY89" s="20">
        <f t="shared" si="105"/>
        <v>0.39484820231404288</v>
      </c>
      <c r="BZ89" s="20">
        <f t="shared" si="106"/>
        <v>0.39484820231404288</v>
      </c>
      <c r="CA89" s="20">
        <f t="shared" si="107"/>
        <v>0.39484820231404288</v>
      </c>
      <c r="CB89" s="20">
        <f t="shared" si="108"/>
        <v>0.39484820231404288</v>
      </c>
      <c r="CC89" s="20">
        <f t="shared" si="109"/>
        <v>0.39484820231404288</v>
      </c>
      <c r="CD89" s="20">
        <f t="shared" si="110"/>
        <v>0.39484820231404288</v>
      </c>
      <c r="CE89" s="20">
        <f t="shared" si="111"/>
        <v>0.39484820231404288</v>
      </c>
      <c r="CF89" s="20">
        <f t="shared" si="112"/>
        <v>0.39484820231404288</v>
      </c>
      <c r="CG89" s="20">
        <f t="shared" si="113"/>
        <v>0.39484820231404288</v>
      </c>
      <c r="CH89" s="20">
        <f t="shared" si="114"/>
        <v>0.39484820231404288</v>
      </c>
      <c r="CI89" s="20">
        <f t="shared" si="115"/>
        <v>0.39484820231404288</v>
      </c>
      <c r="CJ89" s="20">
        <f t="shared" si="116"/>
        <v>0.39484820231404288</v>
      </c>
      <c r="CK89" s="20">
        <f t="shared" si="117"/>
        <v>0.39484820231404288</v>
      </c>
      <c r="CL89" s="20">
        <f t="shared" si="118"/>
        <v>0.39484820231404288</v>
      </c>
      <c r="CM89" s="20">
        <f t="shared" si="119"/>
        <v>0.39484820231404288</v>
      </c>
      <c r="CN89" s="20">
        <f t="shared" si="120"/>
        <v>0.39484820231404288</v>
      </c>
      <c r="CO89" s="20">
        <f t="shared" si="121"/>
        <v>0.39484820231404288</v>
      </c>
      <c r="CP89" s="20">
        <f t="shared" si="122"/>
        <v>0.39484820231404288</v>
      </c>
      <c r="CQ89" s="20">
        <f t="shared" si="123"/>
        <v>0.39484820231404288</v>
      </c>
      <c r="CR89" s="20">
        <f t="shared" si="124"/>
        <v>0.39484820231404288</v>
      </c>
      <c r="CS89" s="20">
        <f t="shared" si="125"/>
        <v>0.39484820231404288</v>
      </c>
      <c r="CT89" s="20">
        <f t="shared" si="126"/>
        <v>0.39484820231404288</v>
      </c>
      <c r="CU89" s="20">
        <f t="shared" si="127"/>
        <v>0.39484820231404288</v>
      </c>
      <c r="CV89" s="20">
        <f t="shared" si="128"/>
        <v>0.39484820231404288</v>
      </c>
      <c r="CW89" s="20">
        <f t="shared" si="129"/>
        <v>0.39484820231404288</v>
      </c>
      <c r="CX89" s="20">
        <f t="shared" si="130"/>
        <v>0.39484820231404288</v>
      </c>
      <c r="CY89" s="24">
        <f t="shared" si="131"/>
        <v>0.39484820231404288</v>
      </c>
      <c r="DB89" s="37"/>
      <c r="DC89" s="24">
        <f t="shared" si="132"/>
        <v>181.54553930578717</v>
      </c>
      <c r="DD89" s="20">
        <f t="shared" si="133"/>
        <v>71.682921494184356</v>
      </c>
      <c r="DE89" s="20">
        <f t="shared" si="134"/>
        <v>28.30386939656945</v>
      </c>
      <c r="DF89" s="20">
        <f t="shared" si="135"/>
        <v>11.175730651301965</v>
      </c>
      <c r="DG89" s="20">
        <f t="shared" si="136"/>
        <v>4.412716648026791</v>
      </c>
      <c r="DH89" s="20">
        <f t="shared" si="137"/>
        <v>1.7423530436349675</v>
      </c>
      <c r="DI89" s="20">
        <f t="shared" si="138"/>
        <v>0.68796491372028479</v>
      </c>
      <c r="DJ89" s="20">
        <f t="shared" si="139"/>
        <v>0.27164174540111047</v>
      </c>
      <c r="DK89" s="20">
        <f t="shared" si="140"/>
        <v>0.10725741348249028</v>
      </c>
      <c r="DL89" s="20">
        <f t="shared" si="141"/>
        <v>4.2350825340733887E-2</v>
      </c>
      <c r="DM89" s="20">
        <f t="shared" si="142"/>
        <v>1.6723242865769931E-2</v>
      </c>
      <c r="DN89" s="20">
        <f t="shared" si="143"/>
        <v>6.6059213126853462E-3</v>
      </c>
      <c r="DO89" s="20">
        <f t="shared" si="144"/>
        <v>2.61537576898788E-3</v>
      </c>
      <c r="DP89" s="20">
        <f t="shared" si="145"/>
        <v>1.0505057304159163E-3</v>
      </c>
      <c r="DQ89" s="20">
        <f t="shared" si="146"/>
        <v>4.5994540614171072E-4</v>
      </c>
      <c r="DR89" s="20">
        <f t="shared" si="147"/>
        <v>2.959694062319935E-4</v>
      </c>
      <c r="DS89" s="20">
        <f t="shared" si="148"/>
        <v>4.0649535264921456E-4</v>
      </c>
      <c r="DT89" s="20">
        <f t="shared" si="149"/>
        <v>8.9403244658889369E-4</v>
      </c>
      <c r="DU89" s="20">
        <f t="shared" si="150"/>
        <v>2.2107554006229099E-3</v>
      </c>
      <c r="DV89" s="20">
        <f t="shared" si="151"/>
        <v>5.5778816988731814E-3</v>
      </c>
      <c r="DW89" s="20">
        <f t="shared" si="152"/>
        <v>1.4118310880739483E-2</v>
      </c>
      <c r="DX89" s="20">
        <f t="shared" si="153"/>
        <v>3.5753011747477123E-2</v>
      </c>
      <c r="DY89" s="20">
        <f t="shared" si="154"/>
        <v>9.0547461916274399E-2</v>
      </c>
      <c r="DZ89" s="20">
        <f t="shared" si="155"/>
        <v>0.22932172218577809</v>
      </c>
      <c r="EA89" s="20">
        <f t="shared" si="156"/>
        <v>0.58078438115314968</v>
      </c>
      <c r="EB89" s="20">
        <f t="shared" si="157"/>
        <v>1.4709055624742156</v>
      </c>
      <c r="EC89" s="20">
        <f t="shared" si="158"/>
        <v>3.7252435556025207</v>
      </c>
      <c r="ED89" s="20">
        <f t="shared" si="159"/>
        <v>9.4346231341885751</v>
      </c>
      <c r="EE89" s="20">
        <f t="shared" si="160"/>
        <v>23.894307165410879</v>
      </c>
      <c r="EF89" s="24">
        <f t="shared" si="161"/>
        <v>60.515179768595715</v>
      </c>
    </row>
    <row r="90" spans="6:136" ht="15" customHeight="1" x14ac:dyDescent="0.25">
      <c r="F90" s="38"/>
      <c r="G90" s="16">
        <f t="shared" si="162"/>
        <v>300</v>
      </c>
      <c r="H90" s="17">
        <f t="shared" si="195"/>
        <v>118.45444691446514</v>
      </c>
      <c r="I90" s="17">
        <f t="shared" si="196"/>
        <v>46.771519980277262</v>
      </c>
      <c r="J90" s="17">
        <f t="shared" si="197"/>
        <v>18.467648438023147</v>
      </c>
      <c r="K90" s="17">
        <f t="shared" si="198"/>
        <v>7.2919169453029777</v>
      </c>
      <c r="L90" s="17">
        <f t="shared" si="199"/>
        <v>2.8791999797365877</v>
      </c>
      <c r="M90" s="17">
        <f t="shared" si="200"/>
        <v>1.1368468479330263</v>
      </c>
      <c r="N90" s="17">
        <f t="shared" si="201"/>
        <v>0.44888199364166576</v>
      </c>
      <c r="O90" s="17">
        <f t="shared" si="202"/>
        <v>0.17724051038538169</v>
      </c>
      <c r="P90" s="17">
        <f t="shared" si="203"/>
        <v>6.998380489437428E-2</v>
      </c>
      <c r="Q90" s="17">
        <f t="shared" si="204"/>
        <v>2.7634790030729516E-2</v>
      </c>
      <c r="R90" s="17">
        <f t="shared" si="205"/>
        <v>1.0916139285953971E-2</v>
      </c>
      <c r="S90" s="17">
        <f t="shared" si="206"/>
        <v>4.3218507802320477E-3</v>
      </c>
      <c r="T90" s="17">
        <f t="shared" si="207"/>
        <v>1.7359375522520964E-3</v>
      </c>
      <c r="U90" s="17">
        <f t="shared" si="208"/>
        <v>7.600496402729004E-4</v>
      </c>
      <c r="V90" s="17">
        <f t="shared" si="209"/>
        <v>4.8908291665620478E-4</v>
      </c>
      <c r="W90" s="17">
        <f t="shared" si="210"/>
        <v>6.7172460563384934E-4</v>
      </c>
      <c r="X90" s="17">
        <f t="shared" si="211"/>
        <v>1.4773689015013898E-3</v>
      </c>
      <c r="Y90" s="17">
        <f t="shared" si="212"/>
        <v>3.6532245447780673E-3</v>
      </c>
      <c r="Z90" s="17">
        <f t="shared" si="213"/>
        <v>9.217326495934524E-3</v>
      </c>
      <c r="AA90" s="17">
        <f t="shared" si="214"/>
        <v>2.3330197373165808E-2</v>
      </c>
      <c r="AB90" s="17">
        <f t="shared" si="215"/>
        <v>5.9081063435972983E-2</v>
      </c>
      <c r="AC90" s="17">
        <f t="shared" si="216"/>
        <v>0.14962768393404641</v>
      </c>
      <c r="AD90" s="17">
        <f t="shared" si="217"/>
        <v>0.3789490885802248</v>
      </c>
      <c r="AE90" s="17">
        <f t="shared" si="218"/>
        <v>0.95973338156478072</v>
      </c>
      <c r="AF90" s="17">
        <f t="shared" si="219"/>
        <v>2.4306390034679204</v>
      </c>
      <c r="AG90" s="17">
        <f t="shared" si="220"/>
        <v>6.1558828212152665</v>
      </c>
      <c r="AH90" s="17">
        <f t="shared" si="221"/>
        <v>15.590506663395324</v>
      </c>
      <c r="AI90" s="17">
        <f t="shared" si="222"/>
        <v>39.484815639283291</v>
      </c>
      <c r="AJ90" s="16">
        <f t="shared" si="164"/>
        <v>100</v>
      </c>
      <c r="AN90" s="35"/>
      <c r="AO90" s="24">
        <f t="shared" si="165"/>
        <v>-1076400000</v>
      </c>
      <c r="AP90" s="20">
        <f t="shared" si="166"/>
        <v>-425014555.52910089</v>
      </c>
      <c r="AQ90" s="20">
        <f t="shared" si="167"/>
        <v>-167816213.68923482</v>
      </c>
      <c r="AR90" s="20">
        <f t="shared" si="168"/>
        <v>-66261922.59562704</v>
      </c>
      <c r="AS90" s="20">
        <f t="shared" si="169"/>
        <v>-26163397.999747083</v>
      </c>
      <c r="AT90" s="20">
        <f t="shared" si="170"/>
        <v>-10330569.527294876</v>
      </c>
      <c r="AU90" s="20">
        <f t="shared" si="171"/>
        <v>-4079006.4903836981</v>
      </c>
      <c r="AV90" s="20">
        <f t="shared" si="172"/>
        <v>-1610588.5931862965</v>
      </c>
      <c r="AW90" s="20">
        <f t="shared" si="173"/>
        <v>-635938.95126274938</v>
      </c>
      <c r="AX90" s="20">
        <f t="shared" si="174"/>
        <v>-251101.89196101492</v>
      </c>
      <c r="AY90" s="20">
        <f t="shared" si="175"/>
        <v>-99153.62663025748</v>
      </c>
      <c r="AZ90" s="20">
        <f t="shared" si="176"/>
        <v>-39167.107758002843</v>
      </c>
      <c r="BA90" s="20">
        <f t="shared" si="177"/>
        <v>-15506.800599472585</v>
      </c>
      <c r="BB90" s="20">
        <f t="shared" si="178"/>
        <v>-6228.543937480521</v>
      </c>
      <c r="BC90" s="20">
        <f t="shared" si="179"/>
        <v>-2727.0581092991665</v>
      </c>
      <c r="BD90" s="20">
        <f t="shared" si="180"/>
        <v>-1754.8295049624628</v>
      </c>
      <c r="BE90" s="20">
        <f t="shared" si="181"/>
        <v>-2410.1478850142512</v>
      </c>
      <c r="BF90" s="20">
        <f t="shared" si="182"/>
        <v>-5300.7996185869861</v>
      </c>
      <c r="BG90" s="20">
        <f t="shared" si="183"/>
        <v>-13107.769666663704</v>
      </c>
      <c r="BH90" s="20">
        <f t="shared" si="184"/>
        <v>-33071.767467413069</v>
      </c>
      <c r="BI90" s="20">
        <f t="shared" si="185"/>
        <v>-83708.748174918903</v>
      </c>
      <c r="BJ90" s="20">
        <f t="shared" si="186"/>
        <v>-211982.85560827106</v>
      </c>
      <c r="BK90" s="20">
        <f t="shared" si="187"/>
        <v>-536864.12995535857</v>
      </c>
      <c r="BL90" s="20">
        <f t="shared" si="188"/>
        <v>-1359669.3298258467</v>
      </c>
      <c r="BM90" s="20">
        <f t="shared" si="189"/>
        <v>-3443523.3730544331</v>
      </c>
      <c r="BN90" s="20">
        <f t="shared" si="190"/>
        <v>-8721132.7444428988</v>
      </c>
      <c r="BO90" s="20">
        <f t="shared" si="191"/>
        <v>-22087307.562520377</v>
      </c>
      <c r="BP90" s="20">
        <f t="shared" si="192"/>
        <v>-55938737.908262424</v>
      </c>
      <c r="BQ90" s="20">
        <f t="shared" si="193"/>
        <v>-141671518.51374844</v>
      </c>
      <c r="BR90" s="24">
        <f t="shared" si="194"/>
        <v>-358800000</v>
      </c>
      <c r="BU90" s="37"/>
      <c r="BV90" s="24">
        <f t="shared" si="102"/>
        <v>0.39484845100749483</v>
      </c>
      <c r="BW90" s="20">
        <f t="shared" si="103"/>
        <v>0.39484845100749483</v>
      </c>
      <c r="BX90" s="20">
        <f t="shared" si="104"/>
        <v>0.39484845100749483</v>
      </c>
      <c r="BY90" s="20">
        <f t="shared" si="105"/>
        <v>0.39484845100749483</v>
      </c>
      <c r="BZ90" s="20">
        <f t="shared" si="106"/>
        <v>0.39484845100749483</v>
      </c>
      <c r="CA90" s="20">
        <f t="shared" si="107"/>
        <v>0.39484845100749483</v>
      </c>
      <c r="CB90" s="20">
        <f t="shared" si="108"/>
        <v>0.39484845100749483</v>
      </c>
      <c r="CC90" s="20">
        <f t="shared" si="109"/>
        <v>0.39484845100749483</v>
      </c>
      <c r="CD90" s="20">
        <f t="shared" si="110"/>
        <v>0.39484845100749483</v>
      </c>
      <c r="CE90" s="20">
        <f t="shared" si="111"/>
        <v>0.39484845100749483</v>
      </c>
      <c r="CF90" s="20">
        <f t="shared" si="112"/>
        <v>0.39484845100749483</v>
      </c>
      <c r="CG90" s="20">
        <f t="shared" si="113"/>
        <v>0.39484845100749483</v>
      </c>
      <c r="CH90" s="20">
        <f t="shared" si="114"/>
        <v>0.39484845100749483</v>
      </c>
      <c r="CI90" s="20">
        <f t="shared" si="115"/>
        <v>0.39484845100749483</v>
      </c>
      <c r="CJ90" s="20">
        <f t="shared" si="116"/>
        <v>0.39484845100749483</v>
      </c>
      <c r="CK90" s="20">
        <f t="shared" si="117"/>
        <v>0.39484845100749483</v>
      </c>
      <c r="CL90" s="20">
        <f t="shared" si="118"/>
        <v>0.39484845100749483</v>
      </c>
      <c r="CM90" s="20">
        <f t="shared" si="119"/>
        <v>0.39484845100749483</v>
      </c>
      <c r="CN90" s="20">
        <f t="shared" si="120"/>
        <v>0.39484845100749483</v>
      </c>
      <c r="CO90" s="20">
        <f t="shared" si="121"/>
        <v>0.39484845100749483</v>
      </c>
      <c r="CP90" s="20">
        <f t="shared" si="122"/>
        <v>0.39484845100749483</v>
      </c>
      <c r="CQ90" s="20">
        <f t="shared" si="123"/>
        <v>0.39484845100749483</v>
      </c>
      <c r="CR90" s="20">
        <f t="shared" si="124"/>
        <v>0.39484845100749483</v>
      </c>
      <c r="CS90" s="20">
        <f t="shared" si="125"/>
        <v>0.39484845100749483</v>
      </c>
      <c r="CT90" s="20">
        <f t="shared" si="126"/>
        <v>0.39484845100749483</v>
      </c>
      <c r="CU90" s="20">
        <f t="shared" si="127"/>
        <v>0.39484845100749483</v>
      </c>
      <c r="CV90" s="20">
        <f t="shared" si="128"/>
        <v>0.39484845100749483</v>
      </c>
      <c r="CW90" s="20">
        <f t="shared" si="129"/>
        <v>0.39484845100749483</v>
      </c>
      <c r="CX90" s="20">
        <f t="shared" si="130"/>
        <v>0.39484845100749483</v>
      </c>
      <c r="CY90" s="24">
        <f t="shared" si="131"/>
        <v>0.39484845100749483</v>
      </c>
      <c r="DB90" s="37"/>
      <c r="DC90" s="24">
        <f t="shared" si="132"/>
        <v>181.54546469775156</v>
      </c>
      <c r="DD90" s="20">
        <f t="shared" si="133"/>
        <v>71.682892035339052</v>
      </c>
      <c r="DE90" s="20">
        <f t="shared" si="134"/>
        <v>28.303857764798689</v>
      </c>
      <c r="DF90" s="20">
        <f t="shared" si="135"/>
        <v>11.175726058518725</v>
      </c>
      <c r="DG90" s="20">
        <f t="shared" si="136"/>
        <v>4.4127148345747926</v>
      </c>
      <c r="DH90" s="20">
        <f t="shared" si="137"/>
        <v>1.7423523275967854</v>
      </c>
      <c r="DI90" s="20">
        <f t="shared" si="138"/>
        <v>0.6879646309939178</v>
      </c>
      <c r="DJ90" s="20">
        <f t="shared" si="139"/>
        <v>0.27164163376709788</v>
      </c>
      <c r="DK90" s="20">
        <f t="shared" si="140"/>
        <v>0.10725736940393592</v>
      </c>
      <c r="DL90" s="20">
        <f t="shared" si="141"/>
        <v>4.2350807936219863E-2</v>
      </c>
      <c r="DM90" s="20">
        <f t="shared" si="142"/>
        <v>1.6723235993178605E-2</v>
      </c>
      <c r="DN90" s="20">
        <f t="shared" si="143"/>
        <v>6.6059185979129836E-3</v>
      </c>
      <c r="DO90" s="20">
        <f t="shared" si="144"/>
        <v>2.6153746941718903E-3</v>
      </c>
      <c r="DP90" s="20">
        <f t="shared" si="145"/>
        <v>1.0505052986996141E-3</v>
      </c>
      <c r="DQ90" s="20">
        <f t="shared" si="146"/>
        <v>4.5994521712234199E-4</v>
      </c>
      <c r="DR90" s="20">
        <f t="shared" si="147"/>
        <v>2.9596928460027465E-4</v>
      </c>
      <c r="DS90" s="20">
        <f t="shared" si="148"/>
        <v>4.0649518559570356E-4</v>
      </c>
      <c r="DT90" s="20">
        <f t="shared" si="149"/>
        <v>8.9403207917692175E-4</v>
      </c>
      <c r="DU90" s="20">
        <f t="shared" si="150"/>
        <v>2.2107544920898867E-3</v>
      </c>
      <c r="DV90" s="20">
        <f t="shared" si="151"/>
        <v>5.5778794065844363E-3</v>
      </c>
      <c r="DW90" s="20">
        <f t="shared" si="152"/>
        <v>1.4118305078672162E-2</v>
      </c>
      <c r="DX90" s="20">
        <f t="shared" si="153"/>
        <v>3.5752997054403511E-2</v>
      </c>
      <c r="DY90" s="20">
        <f t="shared" si="154"/>
        <v>9.0547424704849166E-2</v>
      </c>
      <c r="DZ90" s="20">
        <f t="shared" si="155"/>
        <v>0.22932162794362107</v>
      </c>
      <c r="EA90" s="20">
        <f t="shared" si="156"/>
        <v>0.58078414247374199</v>
      </c>
      <c r="EB90" s="20">
        <f t="shared" si="157"/>
        <v>1.4709049579902111</v>
      </c>
      <c r="EC90" s="20">
        <f t="shared" si="158"/>
        <v>3.7252420246747713</v>
      </c>
      <c r="ED90" s="20">
        <f t="shared" si="159"/>
        <v>9.4346192569316543</v>
      </c>
      <c r="EE90" s="20">
        <f t="shared" si="160"/>
        <v>23.894297345795774</v>
      </c>
      <c r="EF90" s="24">
        <f t="shared" si="161"/>
        <v>60.515154899250518</v>
      </c>
    </row>
    <row r="91" spans="6:136" ht="15" customHeight="1" x14ac:dyDescent="0.25">
      <c r="F91" s="38"/>
      <c r="G91" s="16">
        <f t="shared" si="162"/>
        <v>300</v>
      </c>
      <c r="H91" s="17">
        <f t="shared" si="195"/>
        <v>118.45444691446514</v>
      </c>
      <c r="I91" s="17">
        <f t="shared" si="196"/>
        <v>46.771519980277262</v>
      </c>
      <c r="J91" s="17">
        <f t="shared" si="197"/>
        <v>18.467648438023144</v>
      </c>
      <c r="K91" s="17">
        <f t="shared" si="198"/>
        <v>7.2919169453029777</v>
      </c>
      <c r="L91" s="17">
        <f t="shared" si="199"/>
        <v>2.8791999797365873</v>
      </c>
      <c r="M91" s="17">
        <f t="shared" si="200"/>
        <v>1.1368468479330263</v>
      </c>
      <c r="N91" s="17">
        <f t="shared" si="201"/>
        <v>0.4488819936416657</v>
      </c>
      <c r="O91" s="17">
        <f t="shared" si="202"/>
        <v>0.17724051038538166</v>
      </c>
      <c r="P91" s="17">
        <f t="shared" si="203"/>
        <v>6.998380489437428E-2</v>
      </c>
      <c r="Q91" s="17">
        <f t="shared" si="204"/>
        <v>2.7634790030729512E-2</v>
      </c>
      <c r="R91" s="17">
        <f t="shared" si="205"/>
        <v>1.0916139285953969E-2</v>
      </c>
      <c r="S91" s="17">
        <f t="shared" si="206"/>
        <v>4.3218507802320477E-3</v>
      </c>
      <c r="T91" s="17">
        <f t="shared" si="207"/>
        <v>1.7359375522520964E-3</v>
      </c>
      <c r="U91" s="17">
        <f t="shared" si="208"/>
        <v>7.6004964027290029E-4</v>
      </c>
      <c r="V91" s="17">
        <f t="shared" si="209"/>
        <v>4.8908291665620478E-4</v>
      </c>
      <c r="W91" s="17">
        <f t="shared" si="210"/>
        <v>6.7172460563384934E-4</v>
      </c>
      <c r="X91" s="17">
        <f t="shared" si="211"/>
        <v>1.4773689015013896E-3</v>
      </c>
      <c r="Y91" s="17">
        <f t="shared" si="212"/>
        <v>3.6532245447780669E-3</v>
      </c>
      <c r="Z91" s="17">
        <f t="shared" si="213"/>
        <v>9.217326495934524E-3</v>
      </c>
      <c r="AA91" s="17">
        <f t="shared" si="214"/>
        <v>2.3330197373165804E-2</v>
      </c>
      <c r="AB91" s="17">
        <f t="shared" si="215"/>
        <v>5.9081063435972983E-2</v>
      </c>
      <c r="AC91" s="17">
        <f t="shared" si="216"/>
        <v>0.14962768393404641</v>
      </c>
      <c r="AD91" s="17">
        <f t="shared" si="217"/>
        <v>0.3789490885802248</v>
      </c>
      <c r="AE91" s="17">
        <f t="shared" si="218"/>
        <v>0.95973338156478072</v>
      </c>
      <c r="AF91" s="17">
        <f t="shared" si="219"/>
        <v>2.4306390034679204</v>
      </c>
      <c r="AG91" s="17">
        <f t="shared" si="220"/>
        <v>6.1558828212152665</v>
      </c>
      <c r="AH91" s="17">
        <f t="shared" si="221"/>
        <v>15.590506663395324</v>
      </c>
      <c r="AI91" s="17">
        <f t="shared" si="222"/>
        <v>39.484815639283283</v>
      </c>
      <c r="AJ91" s="16">
        <f t="shared" si="164"/>
        <v>100</v>
      </c>
      <c r="AN91" s="35"/>
      <c r="AO91" s="24">
        <f t="shared" si="165"/>
        <v>-1076400000</v>
      </c>
      <c r="AP91" s="20">
        <f t="shared" si="166"/>
        <v>-425014555.52910089</v>
      </c>
      <c r="AQ91" s="20">
        <f t="shared" si="167"/>
        <v>-167816213.68923482</v>
      </c>
      <c r="AR91" s="20">
        <f t="shared" si="168"/>
        <v>-66261922.59562704</v>
      </c>
      <c r="AS91" s="20">
        <f t="shared" si="169"/>
        <v>-26163397.999747083</v>
      </c>
      <c r="AT91" s="20">
        <f t="shared" si="170"/>
        <v>-10330569.527294876</v>
      </c>
      <c r="AU91" s="20">
        <f t="shared" si="171"/>
        <v>-4079006.4903836981</v>
      </c>
      <c r="AV91" s="20">
        <f t="shared" si="172"/>
        <v>-1610588.5931862965</v>
      </c>
      <c r="AW91" s="20">
        <f t="shared" si="173"/>
        <v>-635938.95126274938</v>
      </c>
      <c r="AX91" s="20">
        <f t="shared" si="174"/>
        <v>-251101.89196101492</v>
      </c>
      <c r="AY91" s="20">
        <f t="shared" si="175"/>
        <v>-99153.62663025748</v>
      </c>
      <c r="AZ91" s="20">
        <f t="shared" si="176"/>
        <v>-39167.107758002843</v>
      </c>
      <c r="BA91" s="20">
        <f t="shared" si="177"/>
        <v>-15506.800599472585</v>
      </c>
      <c r="BB91" s="20">
        <f t="shared" si="178"/>
        <v>-6228.543937480521</v>
      </c>
      <c r="BC91" s="20">
        <f t="shared" si="179"/>
        <v>-2727.0581092991665</v>
      </c>
      <c r="BD91" s="20">
        <f t="shared" si="180"/>
        <v>-1754.8295049624628</v>
      </c>
      <c r="BE91" s="20">
        <f t="shared" si="181"/>
        <v>-2410.1478850142512</v>
      </c>
      <c r="BF91" s="20">
        <f t="shared" si="182"/>
        <v>-5300.7996185869861</v>
      </c>
      <c r="BG91" s="20">
        <f t="shared" si="183"/>
        <v>-13107.769666663704</v>
      </c>
      <c r="BH91" s="20">
        <f t="shared" si="184"/>
        <v>-33071.767467413069</v>
      </c>
      <c r="BI91" s="20">
        <f t="shared" si="185"/>
        <v>-83708.748174918903</v>
      </c>
      <c r="BJ91" s="20">
        <f t="shared" si="186"/>
        <v>-211982.85560827106</v>
      </c>
      <c r="BK91" s="20">
        <f t="shared" si="187"/>
        <v>-536864.12995535857</v>
      </c>
      <c r="BL91" s="20">
        <f t="shared" si="188"/>
        <v>-1359669.3298258467</v>
      </c>
      <c r="BM91" s="20">
        <f t="shared" si="189"/>
        <v>-3443523.3730544331</v>
      </c>
      <c r="BN91" s="20">
        <f t="shared" si="190"/>
        <v>-8721132.7444428988</v>
      </c>
      <c r="BO91" s="20">
        <f t="shared" si="191"/>
        <v>-22087307.562520377</v>
      </c>
      <c r="BP91" s="20">
        <f t="shared" si="192"/>
        <v>-55938737.908262424</v>
      </c>
      <c r="BQ91" s="20">
        <f t="shared" si="193"/>
        <v>-141671518.51374844</v>
      </c>
      <c r="BR91" s="24">
        <f t="shared" si="194"/>
        <v>-358800000</v>
      </c>
      <c r="BU91" s="37"/>
      <c r="BV91" s="24">
        <f t="shared" si="102"/>
        <v>0.39485004616564395</v>
      </c>
      <c r="BW91" s="20">
        <f t="shared" si="103"/>
        <v>0.39485004616564395</v>
      </c>
      <c r="BX91" s="20">
        <f t="shared" si="104"/>
        <v>0.39485004616564395</v>
      </c>
      <c r="BY91" s="20">
        <f t="shared" si="105"/>
        <v>0.39485004616564395</v>
      </c>
      <c r="BZ91" s="20">
        <f t="shared" si="106"/>
        <v>0.39485004616564395</v>
      </c>
      <c r="CA91" s="20">
        <f t="shared" si="107"/>
        <v>0.39485004616564395</v>
      </c>
      <c r="CB91" s="20">
        <f t="shared" si="108"/>
        <v>0.39485004616564395</v>
      </c>
      <c r="CC91" s="20">
        <f t="shared" si="109"/>
        <v>0.39485004616564395</v>
      </c>
      <c r="CD91" s="20">
        <f t="shared" si="110"/>
        <v>0.39485004616564395</v>
      </c>
      <c r="CE91" s="20">
        <f t="shared" si="111"/>
        <v>0.39485004616564395</v>
      </c>
      <c r="CF91" s="20">
        <f t="shared" si="112"/>
        <v>0.39485004616564395</v>
      </c>
      <c r="CG91" s="20">
        <f t="shared" si="113"/>
        <v>0.39485004616564395</v>
      </c>
      <c r="CH91" s="20">
        <f t="shared" si="114"/>
        <v>0.39485004616564395</v>
      </c>
      <c r="CI91" s="20">
        <f t="shared" si="115"/>
        <v>0.39485004616564395</v>
      </c>
      <c r="CJ91" s="20">
        <f t="shared" si="116"/>
        <v>0.39485004616564395</v>
      </c>
      <c r="CK91" s="20">
        <f t="shared" si="117"/>
        <v>0.39485004616564395</v>
      </c>
      <c r="CL91" s="20">
        <f t="shared" si="118"/>
        <v>0.39485004616564395</v>
      </c>
      <c r="CM91" s="20">
        <f t="shared" si="119"/>
        <v>0.39485004616564395</v>
      </c>
      <c r="CN91" s="20">
        <f t="shared" si="120"/>
        <v>0.39485004616564395</v>
      </c>
      <c r="CO91" s="20">
        <f t="shared" si="121"/>
        <v>0.39485004616564395</v>
      </c>
      <c r="CP91" s="20">
        <f t="shared" si="122"/>
        <v>0.39485004616564395</v>
      </c>
      <c r="CQ91" s="20">
        <f t="shared" si="123"/>
        <v>0.39485004616564395</v>
      </c>
      <c r="CR91" s="20">
        <f t="shared" si="124"/>
        <v>0.39485004616564395</v>
      </c>
      <c r="CS91" s="20">
        <f t="shared" si="125"/>
        <v>0.39485004616564395</v>
      </c>
      <c r="CT91" s="20">
        <f t="shared" si="126"/>
        <v>0.39485004616564395</v>
      </c>
      <c r="CU91" s="20">
        <f t="shared" si="127"/>
        <v>0.39485004616564395</v>
      </c>
      <c r="CV91" s="20">
        <f t="shared" si="128"/>
        <v>0.39485004616564395</v>
      </c>
      <c r="CW91" s="20">
        <f t="shared" si="129"/>
        <v>0.39485004616564395</v>
      </c>
      <c r="CX91" s="20">
        <f t="shared" si="130"/>
        <v>0.39485004616564395</v>
      </c>
      <c r="CY91" s="24">
        <f t="shared" si="131"/>
        <v>0.39485004616564395</v>
      </c>
      <c r="DB91" s="37"/>
      <c r="DC91" s="24">
        <f t="shared" si="132"/>
        <v>181.54498615030681</v>
      </c>
      <c r="DD91" s="20">
        <f t="shared" si="133"/>
        <v>71.682703081762753</v>
      </c>
      <c r="DE91" s="20">
        <f t="shared" si="134"/>
        <v>28.303783156827446</v>
      </c>
      <c r="DF91" s="20">
        <f t="shared" si="135"/>
        <v>11.175696599698822</v>
      </c>
      <c r="DG91" s="20">
        <f t="shared" si="136"/>
        <v>4.4127032028140549</v>
      </c>
      <c r="DH91" s="20">
        <f t="shared" si="137"/>
        <v>1.7423477348174745</v>
      </c>
      <c r="DI91" s="20">
        <f t="shared" si="138"/>
        <v>0.68796281754340405</v>
      </c>
      <c r="DJ91" s="20">
        <f t="shared" si="139"/>
        <v>0.27164091772932769</v>
      </c>
      <c r="DK91" s="20">
        <f t="shared" si="140"/>
        <v>0.1072570866772914</v>
      </c>
      <c r="DL91" s="20">
        <f t="shared" si="141"/>
        <v>4.2350696300983169E-2</v>
      </c>
      <c r="DM91" s="20">
        <f t="shared" si="142"/>
        <v>1.6723191911318085E-2</v>
      </c>
      <c r="DN91" s="20">
        <f t="shared" si="143"/>
        <v>6.6059011849444443E-3</v>
      </c>
      <c r="DO91" s="20">
        <f t="shared" si="144"/>
        <v>2.6153678001363989E-3</v>
      </c>
      <c r="DP91" s="20">
        <f t="shared" si="145"/>
        <v>1.0505025296046811E-3</v>
      </c>
      <c r="DQ91" s="20">
        <f t="shared" si="146"/>
        <v>4.5994400472296453E-4</v>
      </c>
      <c r="DR91" s="20">
        <f t="shared" si="147"/>
        <v>2.9596850443567452E-4</v>
      </c>
      <c r="DS91" s="20">
        <f t="shared" si="148"/>
        <v>4.0649411408872488E-4</v>
      </c>
      <c r="DT91" s="20">
        <f t="shared" si="149"/>
        <v>8.9402972253987913E-4</v>
      </c>
      <c r="DU91" s="20">
        <f t="shared" si="150"/>
        <v>2.2107486646189833E-3</v>
      </c>
      <c r="DV91" s="20">
        <f t="shared" si="151"/>
        <v>5.5778647034909635E-3</v>
      </c>
      <c r="DW91" s="20">
        <f t="shared" si="152"/>
        <v>1.4118267863317701E-2</v>
      </c>
      <c r="DX91" s="20">
        <f t="shared" si="153"/>
        <v>3.5752902810763709E-2</v>
      </c>
      <c r="DY91" s="20">
        <f t="shared" si="154"/>
        <v>9.0547186025029799E-2</v>
      </c>
      <c r="DZ91" s="20">
        <f t="shared" si="155"/>
        <v>0.2293210234598943</v>
      </c>
      <c r="EA91" s="20">
        <f t="shared" si="156"/>
        <v>0.58078261154721744</v>
      </c>
      <c r="EB91" s="20">
        <f t="shared" si="157"/>
        <v>1.4709010807365972</v>
      </c>
      <c r="EC91" s="20">
        <f t="shared" si="158"/>
        <v>3.7252322050681239</v>
      </c>
      <c r="ED91" s="20">
        <f t="shared" si="159"/>
        <v>9.4345943876079001</v>
      </c>
      <c r="EE91" s="20">
        <f t="shared" si="160"/>
        <v>23.894234361270339</v>
      </c>
      <c r="EF91" s="24">
        <f t="shared" si="161"/>
        <v>60.514995383435604</v>
      </c>
    </row>
    <row r="92" spans="6:136" ht="15" customHeight="1" x14ac:dyDescent="0.25">
      <c r="F92" s="38"/>
      <c r="G92" s="16">
        <f t="shared" si="162"/>
        <v>300</v>
      </c>
      <c r="H92" s="17">
        <f t="shared" si="195"/>
        <v>118.45444691446512</v>
      </c>
      <c r="I92" s="17">
        <f t="shared" si="196"/>
        <v>46.771519980277262</v>
      </c>
      <c r="J92" s="17">
        <f t="shared" si="197"/>
        <v>18.46764843802314</v>
      </c>
      <c r="K92" s="17">
        <f t="shared" si="198"/>
        <v>7.2919169453029777</v>
      </c>
      <c r="L92" s="17">
        <f t="shared" si="199"/>
        <v>2.8791999797365868</v>
      </c>
      <c r="M92" s="17">
        <f t="shared" si="200"/>
        <v>1.1368468479330263</v>
      </c>
      <c r="N92" s="17">
        <f t="shared" si="201"/>
        <v>0.4488819936416657</v>
      </c>
      <c r="O92" s="17">
        <f t="shared" si="202"/>
        <v>0.17724051038538166</v>
      </c>
      <c r="P92" s="17">
        <f t="shared" si="203"/>
        <v>6.998380489437428E-2</v>
      </c>
      <c r="Q92" s="17">
        <f t="shared" si="204"/>
        <v>2.7634790030729509E-2</v>
      </c>
      <c r="R92" s="17">
        <f t="shared" si="205"/>
        <v>1.0916139285953967E-2</v>
      </c>
      <c r="S92" s="17">
        <f t="shared" si="206"/>
        <v>4.3218507802320468E-3</v>
      </c>
      <c r="T92" s="17">
        <f t="shared" si="207"/>
        <v>1.7359375522520964E-3</v>
      </c>
      <c r="U92" s="17">
        <f t="shared" si="208"/>
        <v>7.6004964027290029E-4</v>
      </c>
      <c r="V92" s="17">
        <f t="shared" si="209"/>
        <v>4.8908291665620478E-4</v>
      </c>
      <c r="W92" s="17">
        <f t="shared" si="210"/>
        <v>6.7172460563384923E-4</v>
      </c>
      <c r="X92" s="17">
        <f t="shared" si="211"/>
        <v>1.4773689015013893E-3</v>
      </c>
      <c r="Y92" s="17">
        <f t="shared" si="212"/>
        <v>3.6532245447780665E-3</v>
      </c>
      <c r="Z92" s="17">
        <f t="shared" si="213"/>
        <v>9.217326495934524E-3</v>
      </c>
      <c r="AA92" s="17">
        <f t="shared" si="214"/>
        <v>2.3330197373165804E-2</v>
      </c>
      <c r="AB92" s="17">
        <f t="shared" si="215"/>
        <v>5.9081063435972983E-2</v>
      </c>
      <c r="AC92" s="17">
        <f t="shared" si="216"/>
        <v>0.14962768393404641</v>
      </c>
      <c r="AD92" s="17">
        <f t="shared" si="217"/>
        <v>0.3789490885802248</v>
      </c>
      <c r="AE92" s="17">
        <f t="shared" si="218"/>
        <v>0.95973338156478061</v>
      </c>
      <c r="AF92" s="17">
        <f t="shared" si="219"/>
        <v>2.4306390034679204</v>
      </c>
      <c r="AG92" s="17">
        <f t="shared" si="220"/>
        <v>6.1558828212152656</v>
      </c>
      <c r="AH92" s="17">
        <f t="shared" si="221"/>
        <v>15.590506663395324</v>
      </c>
      <c r="AI92" s="17">
        <f t="shared" si="222"/>
        <v>39.484815639283283</v>
      </c>
      <c r="AJ92" s="16">
        <f t="shared" si="164"/>
        <v>100</v>
      </c>
      <c r="AN92" s="35"/>
      <c r="AO92" s="24">
        <f t="shared" si="165"/>
        <v>-1076400000</v>
      </c>
      <c r="AP92" s="20">
        <f t="shared" si="166"/>
        <v>-425014555.52910089</v>
      </c>
      <c r="AQ92" s="20">
        <f t="shared" si="167"/>
        <v>-167816213.68923482</v>
      </c>
      <c r="AR92" s="20">
        <f t="shared" si="168"/>
        <v>-66261922.59562704</v>
      </c>
      <c r="AS92" s="20">
        <f t="shared" si="169"/>
        <v>-26163397.999747083</v>
      </c>
      <c r="AT92" s="20">
        <f t="shared" si="170"/>
        <v>-10330569.527294876</v>
      </c>
      <c r="AU92" s="20">
        <f t="shared" si="171"/>
        <v>-4079006.4903836981</v>
      </c>
      <c r="AV92" s="20">
        <f t="shared" si="172"/>
        <v>-1610588.5931862965</v>
      </c>
      <c r="AW92" s="20">
        <f t="shared" si="173"/>
        <v>-635938.95126274938</v>
      </c>
      <c r="AX92" s="20">
        <f t="shared" si="174"/>
        <v>-251101.89196101492</v>
      </c>
      <c r="AY92" s="20">
        <f t="shared" si="175"/>
        <v>-99153.62663025748</v>
      </c>
      <c r="AZ92" s="20">
        <f t="shared" si="176"/>
        <v>-39167.107758002843</v>
      </c>
      <c r="BA92" s="20">
        <f t="shared" si="177"/>
        <v>-15506.800599472585</v>
      </c>
      <c r="BB92" s="20">
        <f t="shared" si="178"/>
        <v>-6228.543937480521</v>
      </c>
      <c r="BC92" s="20">
        <f t="shared" si="179"/>
        <v>-2727.0581092991665</v>
      </c>
      <c r="BD92" s="20">
        <f t="shared" si="180"/>
        <v>-1754.8295049624628</v>
      </c>
      <c r="BE92" s="20">
        <f t="shared" si="181"/>
        <v>-2410.1478850142512</v>
      </c>
      <c r="BF92" s="20">
        <f t="shared" si="182"/>
        <v>-5300.7996185869861</v>
      </c>
      <c r="BG92" s="20">
        <f t="shared" si="183"/>
        <v>-13107.769666663704</v>
      </c>
      <c r="BH92" s="20">
        <f t="shared" si="184"/>
        <v>-33071.767467413069</v>
      </c>
      <c r="BI92" s="20">
        <f t="shared" si="185"/>
        <v>-83708.748174918903</v>
      </c>
      <c r="BJ92" s="20">
        <f t="shared" si="186"/>
        <v>-211982.85560827106</v>
      </c>
      <c r="BK92" s="20">
        <f t="shared" si="187"/>
        <v>-536864.12995535857</v>
      </c>
      <c r="BL92" s="20">
        <f t="shared" si="188"/>
        <v>-1359669.3298258467</v>
      </c>
      <c r="BM92" s="20">
        <f t="shared" si="189"/>
        <v>-3443523.3730544331</v>
      </c>
      <c r="BN92" s="20">
        <f t="shared" si="190"/>
        <v>-8721132.7444428988</v>
      </c>
      <c r="BO92" s="20">
        <f t="shared" si="191"/>
        <v>-22087307.562520377</v>
      </c>
      <c r="BP92" s="20">
        <f t="shared" si="192"/>
        <v>-55938737.908262424</v>
      </c>
      <c r="BQ92" s="20">
        <f t="shared" si="193"/>
        <v>-141671518.51374844</v>
      </c>
      <c r="BR92" s="24">
        <f t="shared" si="194"/>
        <v>-358800000</v>
      </c>
      <c r="BU92" s="37"/>
      <c r="BV92" s="24">
        <f t="shared" si="102"/>
        <v>0.39486027770820464</v>
      </c>
      <c r="BW92" s="20">
        <f t="shared" si="103"/>
        <v>0.39486027770820464</v>
      </c>
      <c r="BX92" s="20">
        <f t="shared" si="104"/>
        <v>0.39486027770820464</v>
      </c>
      <c r="BY92" s="20">
        <f t="shared" si="105"/>
        <v>0.39486027770820464</v>
      </c>
      <c r="BZ92" s="20">
        <f t="shared" si="106"/>
        <v>0.39486027770820464</v>
      </c>
      <c r="CA92" s="20">
        <f t="shared" si="107"/>
        <v>0.39486027770820464</v>
      </c>
      <c r="CB92" s="20">
        <f t="shared" si="108"/>
        <v>0.39486027770820464</v>
      </c>
      <c r="CC92" s="20">
        <f t="shared" si="109"/>
        <v>0.39486027770820464</v>
      </c>
      <c r="CD92" s="20">
        <f t="shared" si="110"/>
        <v>0.39486027770820464</v>
      </c>
      <c r="CE92" s="20">
        <f t="shared" si="111"/>
        <v>0.39486027770820464</v>
      </c>
      <c r="CF92" s="20">
        <f t="shared" si="112"/>
        <v>0.39486027770820464</v>
      </c>
      <c r="CG92" s="20">
        <f t="shared" si="113"/>
        <v>0.39486027770820464</v>
      </c>
      <c r="CH92" s="20">
        <f t="shared" si="114"/>
        <v>0.39486027770820464</v>
      </c>
      <c r="CI92" s="20">
        <f t="shared" si="115"/>
        <v>0.39486027770820464</v>
      </c>
      <c r="CJ92" s="20">
        <f t="shared" si="116"/>
        <v>0.39486027770820464</v>
      </c>
      <c r="CK92" s="20">
        <f t="shared" si="117"/>
        <v>0.39486027770820464</v>
      </c>
      <c r="CL92" s="20">
        <f t="shared" si="118"/>
        <v>0.39486027770820464</v>
      </c>
      <c r="CM92" s="20">
        <f t="shared" si="119"/>
        <v>0.39486027770820464</v>
      </c>
      <c r="CN92" s="20">
        <f t="shared" si="120"/>
        <v>0.39486027770820464</v>
      </c>
      <c r="CO92" s="20">
        <f t="shared" si="121"/>
        <v>0.39486027770820464</v>
      </c>
      <c r="CP92" s="20">
        <f t="shared" si="122"/>
        <v>0.39486027770820464</v>
      </c>
      <c r="CQ92" s="20">
        <f t="shared" si="123"/>
        <v>0.39486027770820464</v>
      </c>
      <c r="CR92" s="20">
        <f t="shared" si="124"/>
        <v>0.39486027770820464</v>
      </c>
      <c r="CS92" s="20">
        <f t="shared" si="125"/>
        <v>0.39486027770820464</v>
      </c>
      <c r="CT92" s="20">
        <f t="shared" si="126"/>
        <v>0.39486027770820464</v>
      </c>
      <c r="CU92" s="20">
        <f t="shared" si="127"/>
        <v>0.39486027770820464</v>
      </c>
      <c r="CV92" s="20">
        <f t="shared" si="128"/>
        <v>0.39486027770820464</v>
      </c>
      <c r="CW92" s="20">
        <f t="shared" si="129"/>
        <v>0.39486027770820464</v>
      </c>
      <c r="CX92" s="20">
        <f t="shared" si="130"/>
        <v>0.39486027770820464</v>
      </c>
      <c r="CY92" s="24">
        <f t="shared" si="131"/>
        <v>0.39486027770820464</v>
      </c>
      <c r="DB92" s="37"/>
      <c r="DC92" s="24">
        <f t="shared" si="132"/>
        <v>181.54191668753859</v>
      </c>
      <c r="DD92" s="20">
        <f t="shared" si="133"/>
        <v>71.681491110047631</v>
      </c>
      <c r="DE92" s="20">
        <f t="shared" si="134"/>
        <v>28.303304612030139</v>
      </c>
      <c r="DF92" s="20">
        <f t="shared" si="135"/>
        <v>11.175507647167832</v>
      </c>
      <c r="DG92" s="20">
        <f t="shared" si="136"/>
        <v>4.4126285952554802</v>
      </c>
      <c r="DH92" s="20">
        <f t="shared" si="137"/>
        <v>1.7423182761603411</v>
      </c>
      <c r="DI92" s="20">
        <f t="shared" si="138"/>
        <v>0.6879511858464944</v>
      </c>
      <c r="DJ92" s="20">
        <f t="shared" si="139"/>
        <v>0.27163632497410506</v>
      </c>
      <c r="DK92" s="20">
        <f t="shared" si="140"/>
        <v>0.10725527323346593</v>
      </c>
      <c r="DL92" s="20">
        <f t="shared" si="141"/>
        <v>4.2349980258704838E-2</v>
      </c>
      <c r="DM92" s="20">
        <f t="shared" si="142"/>
        <v>1.6722909164787726E-2</v>
      </c>
      <c r="DN92" s="20">
        <f t="shared" si="143"/>
        <v>6.6057894960007413E-3</v>
      </c>
      <c r="DO92" s="20">
        <f t="shared" si="144"/>
        <v>2.6153235809361999E-3</v>
      </c>
      <c r="DP92" s="20">
        <f t="shared" si="145"/>
        <v>1.0504847682857325E-3</v>
      </c>
      <c r="DQ92" s="20">
        <f t="shared" si="146"/>
        <v>4.5993622824272185E-4</v>
      </c>
      <c r="DR92" s="20">
        <f t="shared" si="147"/>
        <v>2.9596350036299707E-4</v>
      </c>
      <c r="DS92" s="20">
        <f t="shared" si="148"/>
        <v>4.0648724130983325E-4</v>
      </c>
      <c r="DT92" s="20">
        <f t="shared" si="149"/>
        <v>8.9401460677708555E-4</v>
      </c>
      <c r="DU92" s="20">
        <f t="shared" si="150"/>
        <v>2.2107112864965697E-3</v>
      </c>
      <c r="DV92" s="20">
        <f t="shared" si="151"/>
        <v>5.5777703960226245E-3</v>
      </c>
      <c r="DW92" s="20">
        <f t="shared" si="152"/>
        <v>1.4118029159410328E-2</v>
      </c>
      <c r="DX92" s="20">
        <f t="shared" si="153"/>
        <v>3.5752298320348631E-2</v>
      </c>
      <c r="DY92" s="20">
        <f t="shared" si="154"/>
        <v>9.0545655103013378E-2</v>
      </c>
      <c r="DZ92" s="20">
        <f t="shared" si="155"/>
        <v>0.22931714622616617</v>
      </c>
      <c r="EA92" s="20">
        <f t="shared" si="156"/>
        <v>0.580772791994277</v>
      </c>
      <c r="EB92" s="20">
        <f t="shared" si="157"/>
        <v>1.4708762115501834</v>
      </c>
      <c r="EC92" s="20">
        <f t="shared" si="158"/>
        <v>3.7251692208910394</v>
      </c>
      <c r="ED92" s="20">
        <f t="shared" si="159"/>
        <v>9.4344348726754301</v>
      </c>
      <c r="EE92" s="20">
        <f t="shared" si="160"/>
        <v>23.893830370698623</v>
      </c>
      <c r="EF92" s="24">
        <f t="shared" si="161"/>
        <v>60.513972229179537</v>
      </c>
    </row>
    <row r="93" spans="6:136" ht="15" customHeight="1" x14ac:dyDescent="0.25">
      <c r="F93" s="38"/>
      <c r="G93" s="16">
        <f t="shared" si="162"/>
        <v>300</v>
      </c>
      <c r="H93" s="17">
        <f t="shared" si="195"/>
        <v>118.45444691446514</v>
      </c>
      <c r="I93" s="17">
        <f t="shared" si="196"/>
        <v>46.771519980277269</v>
      </c>
      <c r="J93" s="17">
        <f t="shared" si="197"/>
        <v>18.467648438023144</v>
      </c>
      <c r="K93" s="17">
        <f t="shared" si="198"/>
        <v>7.2919169453029777</v>
      </c>
      <c r="L93" s="17">
        <f t="shared" si="199"/>
        <v>2.8791999797365877</v>
      </c>
      <c r="M93" s="17">
        <f t="shared" si="200"/>
        <v>1.1368468479330263</v>
      </c>
      <c r="N93" s="17">
        <f t="shared" si="201"/>
        <v>0.44888199364166576</v>
      </c>
      <c r="O93" s="17">
        <f t="shared" si="202"/>
        <v>0.17724051038538166</v>
      </c>
      <c r="P93" s="17">
        <f t="shared" si="203"/>
        <v>6.998380489437428E-2</v>
      </c>
      <c r="Q93" s="17">
        <f t="shared" si="204"/>
        <v>2.7634790030729509E-2</v>
      </c>
      <c r="R93" s="17">
        <f t="shared" si="205"/>
        <v>1.0916139285953969E-2</v>
      </c>
      <c r="S93" s="17">
        <f t="shared" si="206"/>
        <v>4.3218507802320477E-3</v>
      </c>
      <c r="T93" s="17">
        <f t="shared" si="207"/>
        <v>1.7359375522520964E-3</v>
      </c>
      <c r="U93" s="17">
        <f t="shared" si="208"/>
        <v>7.6004964027290029E-4</v>
      </c>
      <c r="V93" s="17">
        <f t="shared" si="209"/>
        <v>4.8908291665620478E-4</v>
      </c>
      <c r="W93" s="17">
        <f t="shared" si="210"/>
        <v>6.7172460563384934E-4</v>
      </c>
      <c r="X93" s="17">
        <f t="shared" si="211"/>
        <v>1.4773689015013896E-3</v>
      </c>
      <c r="Y93" s="17">
        <f t="shared" si="212"/>
        <v>3.6532245447780665E-3</v>
      </c>
      <c r="Z93" s="17">
        <f t="shared" si="213"/>
        <v>9.217326495934524E-3</v>
      </c>
      <c r="AA93" s="17">
        <f t="shared" si="214"/>
        <v>2.3330197373165808E-2</v>
      </c>
      <c r="AB93" s="17">
        <f t="shared" si="215"/>
        <v>5.9081063435972983E-2</v>
      </c>
      <c r="AC93" s="17">
        <f t="shared" si="216"/>
        <v>0.14962768393404643</v>
      </c>
      <c r="AD93" s="17">
        <f t="shared" si="217"/>
        <v>0.3789490885802248</v>
      </c>
      <c r="AE93" s="17">
        <f t="shared" si="218"/>
        <v>0.95973338156478061</v>
      </c>
      <c r="AF93" s="17">
        <f t="shared" si="219"/>
        <v>2.4306390034679204</v>
      </c>
      <c r="AG93" s="17">
        <f t="shared" si="220"/>
        <v>6.1558828212152665</v>
      </c>
      <c r="AH93" s="17">
        <f t="shared" si="221"/>
        <v>15.590506663395324</v>
      </c>
      <c r="AI93" s="17">
        <f t="shared" si="222"/>
        <v>39.484815639283283</v>
      </c>
      <c r="AJ93" s="16">
        <f t="shared" si="164"/>
        <v>100</v>
      </c>
      <c r="AN93" s="35"/>
      <c r="AO93" s="24">
        <f t="shared" si="165"/>
        <v>-1076400000</v>
      </c>
      <c r="AP93" s="20">
        <f t="shared" si="166"/>
        <v>-425014555.52910089</v>
      </c>
      <c r="AQ93" s="20">
        <f t="shared" si="167"/>
        <v>-167816213.68923482</v>
      </c>
      <c r="AR93" s="20">
        <f t="shared" si="168"/>
        <v>-66261922.59562704</v>
      </c>
      <c r="AS93" s="20">
        <f t="shared" si="169"/>
        <v>-26163397.999747083</v>
      </c>
      <c r="AT93" s="20">
        <f t="shared" si="170"/>
        <v>-10330569.527294876</v>
      </c>
      <c r="AU93" s="20">
        <f t="shared" si="171"/>
        <v>-4079006.4903836981</v>
      </c>
      <c r="AV93" s="20">
        <f t="shared" si="172"/>
        <v>-1610588.5931862965</v>
      </c>
      <c r="AW93" s="20">
        <f t="shared" si="173"/>
        <v>-635938.95126274938</v>
      </c>
      <c r="AX93" s="20">
        <f t="shared" si="174"/>
        <v>-251101.89196101492</v>
      </c>
      <c r="AY93" s="20">
        <f t="shared" si="175"/>
        <v>-99153.62663025748</v>
      </c>
      <c r="AZ93" s="20">
        <f t="shared" si="176"/>
        <v>-39167.107758002843</v>
      </c>
      <c r="BA93" s="20">
        <f t="shared" si="177"/>
        <v>-15506.800599472585</v>
      </c>
      <c r="BB93" s="20">
        <f t="shared" si="178"/>
        <v>-6228.543937480521</v>
      </c>
      <c r="BC93" s="20">
        <f t="shared" si="179"/>
        <v>-2727.0581092991665</v>
      </c>
      <c r="BD93" s="20">
        <f t="shared" si="180"/>
        <v>-1754.8295049624628</v>
      </c>
      <c r="BE93" s="20">
        <f t="shared" si="181"/>
        <v>-2410.1478850142512</v>
      </c>
      <c r="BF93" s="20">
        <f t="shared" si="182"/>
        <v>-5300.7996185869861</v>
      </c>
      <c r="BG93" s="20">
        <f t="shared" si="183"/>
        <v>-13107.769666663704</v>
      </c>
      <c r="BH93" s="20">
        <f t="shared" si="184"/>
        <v>-33071.767467413069</v>
      </c>
      <c r="BI93" s="20">
        <f t="shared" si="185"/>
        <v>-83708.748174918903</v>
      </c>
      <c r="BJ93" s="20">
        <f t="shared" si="186"/>
        <v>-211982.85560827106</v>
      </c>
      <c r="BK93" s="20">
        <f t="shared" si="187"/>
        <v>-536864.12995535857</v>
      </c>
      <c r="BL93" s="20">
        <f t="shared" si="188"/>
        <v>-1359669.3298258467</v>
      </c>
      <c r="BM93" s="20">
        <f t="shared" si="189"/>
        <v>-3443523.3730544331</v>
      </c>
      <c r="BN93" s="20">
        <f t="shared" si="190"/>
        <v>-8721132.7444428988</v>
      </c>
      <c r="BO93" s="20">
        <f t="shared" si="191"/>
        <v>-22087307.562520377</v>
      </c>
      <c r="BP93" s="20">
        <f t="shared" si="192"/>
        <v>-55938737.908262424</v>
      </c>
      <c r="BQ93" s="20">
        <f t="shared" si="193"/>
        <v>-141671518.51374844</v>
      </c>
      <c r="BR93" s="24">
        <f t="shared" si="194"/>
        <v>-358800000</v>
      </c>
      <c r="BU93" s="37"/>
      <c r="BV93" s="24">
        <f t="shared" si="102"/>
        <v>0.39492590212780204</v>
      </c>
      <c r="BW93" s="20">
        <f t="shared" si="103"/>
        <v>0.39492590212780204</v>
      </c>
      <c r="BX93" s="20">
        <f t="shared" si="104"/>
        <v>0.39492590212780204</v>
      </c>
      <c r="BY93" s="20">
        <f t="shared" si="105"/>
        <v>0.39492590212780204</v>
      </c>
      <c r="BZ93" s="20">
        <f t="shared" si="106"/>
        <v>0.39492590212780204</v>
      </c>
      <c r="CA93" s="20">
        <f t="shared" si="107"/>
        <v>0.39492590212780204</v>
      </c>
      <c r="CB93" s="20">
        <f t="shared" si="108"/>
        <v>0.39492590212780204</v>
      </c>
      <c r="CC93" s="20">
        <f t="shared" si="109"/>
        <v>0.39492590212780204</v>
      </c>
      <c r="CD93" s="20">
        <f t="shared" si="110"/>
        <v>0.39492590212780204</v>
      </c>
      <c r="CE93" s="20">
        <f t="shared" si="111"/>
        <v>0.39492590212780204</v>
      </c>
      <c r="CF93" s="20">
        <f t="shared" si="112"/>
        <v>0.39492590212780204</v>
      </c>
      <c r="CG93" s="20">
        <f t="shared" si="113"/>
        <v>0.39492590212780204</v>
      </c>
      <c r="CH93" s="20">
        <f t="shared" si="114"/>
        <v>0.39492590212780204</v>
      </c>
      <c r="CI93" s="20">
        <f t="shared" si="115"/>
        <v>0.39492590212780204</v>
      </c>
      <c r="CJ93" s="20">
        <f t="shared" si="116"/>
        <v>0.39492590212780204</v>
      </c>
      <c r="CK93" s="20">
        <f t="shared" si="117"/>
        <v>0.39492590212780204</v>
      </c>
      <c r="CL93" s="20">
        <f t="shared" si="118"/>
        <v>0.39492590212780204</v>
      </c>
      <c r="CM93" s="20">
        <f t="shared" si="119"/>
        <v>0.39492590212780204</v>
      </c>
      <c r="CN93" s="20">
        <f t="shared" si="120"/>
        <v>0.39492590212780204</v>
      </c>
      <c r="CO93" s="20">
        <f t="shared" si="121"/>
        <v>0.39492590212780204</v>
      </c>
      <c r="CP93" s="20">
        <f t="shared" si="122"/>
        <v>0.39492590212780204</v>
      </c>
      <c r="CQ93" s="20">
        <f t="shared" si="123"/>
        <v>0.39492590212780204</v>
      </c>
      <c r="CR93" s="20">
        <f t="shared" si="124"/>
        <v>0.39492590212780204</v>
      </c>
      <c r="CS93" s="20">
        <f t="shared" si="125"/>
        <v>0.39492590212780204</v>
      </c>
      <c r="CT93" s="20">
        <f t="shared" si="126"/>
        <v>0.39492590212780204</v>
      </c>
      <c r="CU93" s="20">
        <f t="shared" si="127"/>
        <v>0.39492590212780204</v>
      </c>
      <c r="CV93" s="20">
        <f t="shared" si="128"/>
        <v>0.39492590212780204</v>
      </c>
      <c r="CW93" s="20">
        <f t="shared" si="129"/>
        <v>0.39492590212780204</v>
      </c>
      <c r="CX93" s="20">
        <f t="shared" si="130"/>
        <v>0.39492590212780204</v>
      </c>
      <c r="CY93" s="24">
        <f t="shared" si="131"/>
        <v>0.39492590212780204</v>
      </c>
      <c r="DB93" s="37"/>
      <c r="DC93" s="24">
        <f t="shared" si="132"/>
        <v>181.52222936165941</v>
      </c>
      <c r="DD93" s="20">
        <f t="shared" si="133"/>
        <v>71.673717605720171</v>
      </c>
      <c r="DE93" s="20">
        <f t="shared" si="134"/>
        <v>28.300235258177754</v>
      </c>
      <c r="DF93" s="20">
        <f t="shared" si="135"/>
        <v>11.17429571845776</v>
      </c>
      <c r="DG93" s="20">
        <f t="shared" si="136"/>
        <v>4.4121500674381924</v>
      </c>
      <c r="DH93" s="20">
        <f t="shared" si="137"/>
        <v>1.7421293303327665</v>
      </c>
      <c r="DI93" s="20">
        <f t="shared" si="138"/>
        <v>0.68787658093192772</v>
      </c>
      <c r="DJ93" s="20">
        <f t="shared" si="139"/>
        <v>0.27160686735380463</v>
      </c>
      <c r="DK93" s="20">
        <f t="shared" si="140"/>
        <v>0.10724364192784275</v>
      </c>
      <c r="DL93" s="20">
        <f t="shared" si="141"/>
        <v>4.234538761212743E-2</v>
      </c>
      <c r="DM93" s="20">
        <f t="shared" si="142"/>
        <v>1.6721095647731266E-2</v>
      </c>
      <c r="DN93" s="20">
        <f t="shared" si="143"/>
        <v>6.6050731306958573E-3</v>
      </c>
      <c r="DO93" s="20">
        <f t="shared" si="144"/>
        <v>2.6150399619871614E-3</v>
      </c>
      <c r="DP93" s="20">
        <f t="shared" si="145"/>
        <v>1.0503708483914087E-3</v>
      </c>
      <c r="DQ93" s="20">
        <f t="shared" si="146"/>
        <v>4.5988635042621377E-4</v>
      </c>
      <c r="DR93" s="20">
        <f t="shared" si="147"/>
        <v>2.9593140458045652E-4</v>
      </c>
      <c r="DS93" s="20">
        <f t="shared" si="148"/>
        <v>4.064431597724593E-4</v>
      </c>
      <c r="DT93" s="20">
        <f t="shared" si="149"/>
        <v>8.9391765530039342E-4</v>
      </c>
      <c r="DU93" s="20">
        <f t="shared" si="150"/>
        <v>2.2104715457561598E-3</v>
      </c>
      <c r="DV93" s="20">
        <f t="shared" si="151"/>
        <v>5.5771655143210894E-3</v>
      </c>
      <c r="DW93" s="20">
        <f t="shared" si="152"/>
        <v>1.4116498128748623E-2</v>
      </c>
      <c r="DX93" s="20">
        <f t="shared" si="153"/>
        <v>3.5748421159851454E-2</v>
      </c>
      <c r="DY93" s="20">
        <f t="shared" si="154"/>
        <v>9.0535835873099518E-2</v>
      </c>
      <c r="DZ93" s="20">
        <f t="shared" si="155"/>
        <v>0.22929227791217119</v>
      </c>
      <c r="EA93" s="20">
        <f t="shared" si="156"/>
        <v>0.58070981004814359</v>
      </c>
      <c r="EB93" s="20">
        <f t="shared" si="157"/>
        <v>1.4707167022763303</v>
      </c>
      <c r="EC93" s="20">
        <f t="shared" si="158"/>
        <v>3.7247652446537884</v>
      </c>
      <c r="ED93" s="20">
        <f t="shared" si="159"/>
        <v>9.4334117547244176</v>
      </c>
      <c r="EE93" s="20">
        <f t="shared" si="160"/>
        <v>23.891239202589389</v>
      </c>
      <c r="EF93" s="24">
        <f t="shared" si="161"/>
        <v>60.507409787219807</v>
      </c>
    </row>
    <row r="94" spans="6:136" ht="15" customHeight="1" x14ac:dyDescent="0.25">
      <c r="F94" s="38"/>
      <c r="G94" s="16">
        <f t="shared" si="162"/>
        <v>300</v>
      </c>
      <c r="H94" s="17">
        <f t="shared" si="195"/>
        <v>118.45444691446514</v>
      </c>
      <c r="I94" s="17">
        <f t="shared" si="196"/>
        <v>46.771519980277269</v>
      </c>
      <c r="J94" s="17">
        <f t="shared" si="197"/>
        <v>18.467648438023144</v>
      </c>
      <c r="K94" s="17">
        <f t="shared" si="198"/>
        <v>7.2919169453029777</v>
      </c>
      <c r="L94" s="17">
        <f t="shared" si="199"/>
        <v>2.8791999797365877</v>
      </c>
      <c r="M94" s="17">
        <f t="shared" si="200"/>
        <v>1.1368468479330263</v>
      </c>
      <c r="N94" s="17">
        <f t="shared" si="201"/>
        <v>0.44888199364166576</v>
      </c>
      <c r="O94" s="17">
        <f t="shared" si="202"/>
        <v>0.17724051038538169</v>
      </c>
      <c r="P94" s="17">
        <f t="shared" si="203"/>
        <v>6.998380489437428E-2</v>
      </c>
      <c r="Q94" s="17">
        <f t="shared" si="204"/>
        <v>2.7634790030729509E-2</v>
      </c>
      <c r="R94" s="17">
        <f t="shared" si="205"/>
        <v>1.0916139285953971E-2</v>
      </c>
      <c r="S94" s="17">
        <f t="shared" si="206"/>
        <v>4.3218507802320477E-3</v>
      </c>
      <c r="T94" s="17">
        <f t="shared" si="207"/>
        <v>1.7359375522520964E-3</v>
      </c>
      <c r="U94" s="17">
        <f t="shared" si="208"/>
        <v>7.600496402729004E-4</v>
      </c>
      <c r="V94" s="17">
        <f t="shared" si="209"/>
        <v>4.8908291665620478E-4</v>
      </c>
      <c r="W94" s="17">
        <f t="shared" si="210"/>
        <v>6.7172460563384934E-4</v>
      </c>
      <c r="X94" s="17">
        <f t="shared" si="211"/>
        <v>1.4773689015013898E-3</v>
      </c>
      <c r="Y94" s="17">
        <f t="shared" si="212"/>
        <v>3.6532245447780669E-3</v>
      </c>
      <c r="Z94" s="17">
        <f t="shared" si="213"/>
        <v>9.217326495934524E-3</v>
      </c>
      <c r="AA94" s="17">
        <f t="shared" si="214"/>
        <v>2.3330197373165808E-2</v>
      </c>
      <c r="AB94" s="17">
        <f t="shared" si="215"/>
        <v>5.9081063435972983E-2</v>
      </c>
      <c r="AC94" s="17">
        <f t="shared" si="216"/>
        <v>0.14962768393404643</v>
      </c>
      <c r="AD94" s="17">
        <f t="shared" si="217"/>
        <v>0.3789490885802248</v>
      </c>
      <c r="AE94" s="17">
        <f t="shared" si="218"/>
        <v>0.95973338156478072</v>
      </c>
      <c r="AF94" s="17">
        <f t="shared" si="219"/>
        <v>2.4306390034679204</v>
      </c>
      <c r="AG94" s="17">
        <f t="shared" si="220"/>
        <v>6.1558828212152665</v>
      </c>
      <c r="AH94" s="17">
        <f t="shared" si="221"/>
        <v>15.590506663395326</v>
      </c>
      <c r="AI94" s="17">
        <f t="shared" si="222"/>
        <v>39.484815639283283</v>
      </c>
      <c r="AJ94" s="16">
        <f t="shared" si="164"/>
        <v>100</v>
      </c>
      <c r="AN94" s="35"/>
      <c r="AO94" s="24">
        <f t="shared" si="165"/>
        <v>-1076400000</v>
      </c>
      <c r="AP94" s="20">
        <f t="shared" si="166"/>
        <v>-425014555.52910089</v>
      </c>
      <c r="AQ94" s="20">
        <f t="shared" si="167"/>
        <v>-167816213.68923482</v>
      </c>
      <c r="AR94" s="20">
        <f t="shared" si="168"/>
        <v>-66261922.59562704</v>
      </c>
      <c r="AS94" s="20">
        <f t="shared" si="169"/>
        <v>-26163397.999747083</v>
      </c>
      <c r="AT94" s="20">
        <f t="shared" si="170"/>
        <v>-10330569.527294876</v>
      </c>
      <c r="AU94" s="20">
        <f t="shared" si="171"/>
        <v>-4079006.4903836981</v>
      </c>
      <c r="AV94" s="20">
        <f t="shared" si="172"/>
        <v>-1610588.5931862965</v>
      </c>
      <c r="AW94" s="20">
        <f t="shared" si="173"/>
        <v>-635938.95126274938</v>
      </c>
      <c r="AX94" s="20">
        <f t="shared" si="174"/>
        <v>-251101.89196101492</v>
      </c>
      <c r="AY94" s="20">
        <f t="shared" si="175"/>
        <v>-99153.62663025748</v>
      </c>
      <c r="AZ94" s="20">
        <f t="shared" si="176"/>
        <v>-39167.107758002843</v>
      </c>
      <c r="BA94" s="20">
        <f t="shared" si="177"/>
        <v>-15506.800599472585</v>
      </c>
      <c r="BB94" s="20">
        <f t="shared" si="178"/>
        <v>-6228.543937480521</v>
      </c>
      <c r="BC94" s="20">
        <f t="shared" si="179"/>
        <v>-2727.0581092991665</v>
      </c>
      <c r="BD94" s="20">
        <f t="shared" si="180"/>
        <v>-1754.8295049624628</v>
      </c>
      <c r="BE94" s="20">
        <f t="shared" si="181"/>
        <v>-2410.1478850142512</v>
      </c>
      <c r="BF94" s="20">
        <f t="shared" si="182"/>
        <v>-5300.7996185869861</v>
      </c>
      <c r="BG94" s="20">
        <f t="shared" si="183"/>
        <v>-13107.769666663704</v>
      </c>
      <c r="BH94" s="20">
        <f t="shared" si="184"/>
        <v>-33071.767467413069</v>
      </c>
      <c r="BI94" s="20">
        <f t="shared" si="185"/>
        <v>-83708.748174918903</v>
      </c>
      <c r="BJ94" s="20">
        <f t="shared" si="186"/>
        <v>-211982.85560827106</v>
      </c>
      <c r="BK94" s="20">
        <f t="shared" si="187"/>
        <v>-536864.12995535857</v>
      </c>
      <c r="BL94" s="20">
        <f t="shared" si="188"/>
        <v>-1359669.3298258467</v>
      </c>
      <c r="BM94" s="20">
        <f t="shared" si="189"/>
        <v>-3443523.3730544331</v>
      </c>
      <c r="BN94" s="20">
        <f t="shared" si="190"/>
        <v>-8721132.7444428988</v>
      </c>
      <c r="BO94" s="20">
        <f t="shared" si="191"/>
        <v>-22087307.562520377</v>
      </c>
      <c r="BP94" s="20">
        <f t="shared" si="192"/>
        <v>-55938737.908262424</v>
      </c>
      <c r="BQ94" s="20">
        <f t="shared" si="193"/>
        <v>-141671518.51374844</v>
      </c>
      <c r="BR94" s="24">
        <f t="shared" si="194"/>
        <v>-358800000</v>
      </c>
      <c r="BU94" s="37"/>
      <c r="BV94" s="24">
        <f t="shared" si="102"/>
        <v>0.39534673185434266</v>
      </c>
      <c r="BW94" s="20">
        <f t="shared" si="103"/>
        <v>0.39534673185434266</v>
      </c>
      <c r="BX94" s="20">
        <f t="shared" si="104"/>
        <v>0.39534673185434266</v>
      </c>
      <c r="BY94" s="20">
        <f t="shared" si="105"/>
        <v>0.39534673185434266</v>
      </c>
      <c r="BZ94" s="20">
        <f t="shared" si="106"/>
        <v>0.39534673185434266</v>
      </c>
      <c r="CA94" s="20">
        <f t="shared" si="107"/>
        <v>0.39534673185434266</v>
      </c>
      <c r="CB94" s="20">
        <f t="shared" si="108"/>
        <v>0.39534673185434266</v>
      </c>
      <c r="CC94" s="20">
        <f t="shared" si="109"/>
        <v>0.39534673185434266</v>
      </c>
      <c r="CD94" s="20">
        <f t="shared" si="110"/>
        <v>0.39534673185434266</v>
      </c>
      <c r="CE94" s="20">
        <f t="shared" si="111"/>
        <v>0.39534673185434266</v>
      </c>
      <c r="CF94" s="20">
        <f t="shared" si="112"/>
        <v>0.39534673185434266</v>
      </c>
      <c r="CG94" s="20">
        <f t="shared" si="113"/>
        <v>0.39534673185434266</v>
      </c>
      <c r="CH94" s="20">
        <f t="shared" si="114"/>
        <v>0.39534673185434266</v>
      </c>
      <c r="CI94" s="20">
        <f t="shared" si="115"/>
        <v>0.39534673185434266</v>
      </c>
      <c r="CJ94" s="20">
        <f t="shared" si="116"/>
        <v>0.39534673185434266</v>
      </c>
      <c r="CK94" s="20">
        <f t="shared" si="117"/>
        <v>0.39534673185434266</v>
      </c>
      <c r="CL94" s="20">
        <f t="shared" si="118"/>
        <v>0.39534673185434266</v>
      </c>
      <c r="CM94" s="20">
        <f t="shared" si="119"/>
        <v>0.39534673185434266</v>
      </c>
      <c r="CN94" s="20">
        <f t="shared" si="120"/>
        <v>0.39534673185434266</v>
      </c>
      <c r="CO94" s="20">
        <f t="shared" si="121"/>
        <v>0.39534673185434266</v>
      </c>
      <c r="CP94" s="20">
        <f t="shared" si="122"/>
        <v>0.39534673185434266</v>
      </c>
      <c r="CQ94" s="20">
        <f t="shared" si="123"/>
        <v>0.39534673185434266</v>
      </c>
      <c r="CR94" s="20">
        <f t="shared" si="124"/>
        <v>0.39534673185434266</v>
      </c>
      <c r="CS94" s="20">
        <f t="shared" si="125"/>
        <v>0.39534673185434266</v>
      </c>
      <c r="CT94" s="20">
        <f t="shared" si="126"/>
        <v>0.39534673185434266</v>
      </c>
      <c r="CU94" s="20">
        <f t="shared" si="127"/>
        <v>0.39534673185434266</v>
      </c>
      <c r="CV94" s="20">
        <f t="shared" si="128"/>
        <v>0.39534673185434266</v>
      </c>
      <c r="CW94" s="20">
        <f t="shared" si="129"/>
        <v>0.39534673185434266</v>
      </c>
      <c r="CX94" s="20">
        <f t="shared" si="130"/>
        <v>0.39534673185434266</v>
      </c>
      <c r="CY94" s="24">
        <f t="shared" si="131"/>
        <v>0.39534673185434266</v>
      </c>
      <c r="DB94" s="37"/>
      <c r="DC94" s="24">
        <f t="shared" si="132"/>
        <v>181.39598044369723</v>
      </c>
      <c r="DD94" s="20">
        <f t="shared" si="133"/>
        <v>71.623868453217625</v>
      </c>
      <c r="DE94" s="20">
        <f t="shared" si="134"/>
        <v>28.280552412214561</v>
      </c>
      <c r="DF94" s="20">
        <f t="shared" si="135"/>
        <v>11.166523983015738</v>
      </c>
      <c r="DG94" s="20">
        <f t="shared" si="136"/>
        <v>4.4090814120241442</v>
      </c>
      <c r="DH94" s="20">
        <f t="shared" si="137"/>
        <v>1.740917677392638</v>
      </c>
      <c r="DI94" s="20">
        <f t="shared" si="138"/>
        <v>0.68739816198379344</v>
      </c>
      <c r="DJ94" s="20">
        <f t="shared" si="139"/>
        <v>0.27141796446717137</v>
      </c>
      <c r="DK94" s="20">
        <f t="shared" si="140"/>
        <v>0.10716905385232535</v>
      </c>
      <c r="DL94" s="20">
        <f t="shared" si="141"/>
        <v>4.2315936346651456E-2</v>
      </c>
      <c r="DM94" s="20">
        <f t="shared" si="142"/>
        <v>1.6709466106599628E-2</v>
      </c>
      <c r="DN94" s="20">
        <f t="shared" si="143"/>
        <v>6.6004792947852702E-3</v>
      </c>
      <c r="DO94" s="20">
        <f t="shared" si="144"/>
        <v>2.6132211987051667E-3</v>
      </c>
      <c r="DP94" s="20">
        <f t="shared" si="145"/>
        <v>1.0496403142660029E-3</v>
      </c>
      <c r="DQ94" s="20">
        <f t="shared" si="146"/>
        <v>4.5956649894394048E-4</v>
      </c>
      <c r="DR94" s="20">
        <f t="shared" si="147"/>
        <v>2.957255839503844E-4</v>
      </c>
      <c r="DS94" s="20">
        <f t="shared" si="148"/>
        <v>4.0616047809035976E-4</v>
      </c>
      <c r="DT94" s="20">
        <f t="shared" si="149"/>
        <v>8.9329593454957499E-4</v>
      </c>
      <c r="DU94" s="20">
        <f t="shared" si="150"/>
        <v>2.2089341602699896E-3</v>
      </c>
      <c r="DV94" s="20">
        <f t="shared" si="151"/>
        <v>5.5732865893323696E-3</v>
      </c>
      <c r="DW94" s="20">
        <f t="shared" si="152"/>
        <v>1.4106680088167935E-2</v>
      </c>
      <c r="DX94" s="20">
        <f t="shared" si="153"/>
        <v>3.5723558092081963E-2</v>
      </c>
      <c r="DY94" s="20">
        <f t="shared" si="154"/>
        <v>9.047286809578664E-2</v>
      </c>
      <c r="DZ94" s="20">
        <f t="shared" si="155"/>
        <v>0.22913280487085116</v>
      </c>
      <c r="EA94" s="20">
        <f t="shared" si="156"/>
        <v>0.58030592571162787</v>
      </c>
      <c r="EB94" s="20">
        <f t="shared" si="157"/>
        <v>1.469693817129182</v>
      </c>
      <c r="EC94" s="20">
        <f t="shared" si="158"/>
        <v>3.7221746661695208</v>
      </c>
      <c r="ED94" s="20">
        <f t="shared" si="159"/>
        <v>9.4268508060686322</v>
      </c>
      <c r="EE94" s="20">
        <f t="shared" si="160"/>
        <v>23.874622818421404</v>
      </c>
      <c r="EF94" s="24">
        <f t="shared" si="161"/>
        <v>60.465326814565742</v>
      </c>
    </row>
    <row r="95" spans="6:136" ht="15" customHeight="1" x14ac:dyDescent="0.25">
      <c r="F95" s="38"/>
      <c r="G95" s="16">
        <f t="shared" si="162"/>
        <v>300</v>
      </c>
      <c r="H95" s="17">
        <f t="shared" si="195"/>
        <v>118.45444691446515</v>
      </c>
      <c r="I95" s="17">
        <f t="shared" si="196"/>
        <v>46.771519980277262</v>
      </c>
      <c r="J95" s="17">
        <f t="shared" si="197"/>
        <v>18.467648438023147</v>
      </c>
      <c r="K95" s="17">
        <f t="shared" si="198"/>
        <v>7.2919169453029777</v>
      </c>
      <c r="L95" s="17">
        <f t="shared" si="199"/>
        <v>2.8791999797365877</v>
      </c>
      <c r="M95" s="17">
        <f t="shared" si="200"/>
        <v>1.1368468479330263</v>
      </c>
      <c r="N95" s="17">
        <f t="shared" si="201"/>
        <v>0.44888199364166581</v>
      </c>
      <c r="O95" s="17">
        <f t="shared" si="202"/>
        <v>0.17724051038538169</v>
      </c>
      <c r="P95" s="17">
        <f t="shared" si="203"/>
        <v>6.998380489437428E-2</v>
      </c>
      <c r="Q95" s="17">
        <f t="shared" si="204"/>
        <v>2.7634790030729509E-2</v>
      </c>
      <c r="R95" s="17">
        <f t="shared" si="205"/>
        <v>1.0916139285953971E-2</v>
      </c>
      <c r="S95" s="17">
        <f t="shared" si="206"/>
        <v>4.3218507802320477E-3</v>
      </c>
      <c r="T95" s="17">
        <f t="shared" si="207"/>
        <v>1.7359375522520966E-3</v>
      </c>
      <c r="U95" s="17">
        <f t="shared" si="208"/>
        <v>7.6004964027290051E-4</v>
      </c>
      <c r="V95" s="17">
        <f t="shared" si="209"/>
        <v>4.8908291665620488E-4</v>
      </c>
      <c r="W95" s="17">
        <f t="shared" si="210"/>
        <v>6.7172460563384934E-4</v>
      </c>
      <c r="X95" s="17">
        <f t="shared" si="211"/>
        <v>1.4773689015013898E-3</v>
      </c>
      <c r="Y95" s="17">
        <f t="shared" si="212"/>
        <v>3.6532245447780673E-3</v>
      </c>
      <c r="Z95" s="17">
        <f t="shared" si="213"/>
        <v>9.217326495934524E-3</v>
      </c>
      <c r="AA95" s="17">
        <f t="shared" si="214"/>
        <v>2.3330197373165808E-2</v>
      </c>
      <c r="AB95" s="17">
        <f t="shared" si="215"/>
        <v>5.9081063435972983E-2</v>
      </c>
      <c r="AC95" s="17">
        <f t="shared" si="216"/>
        <v>0.14962768393404646</v>
      </c>
      <c r="AD95" s="17">
        <f t="shared" si="217"/>
        <v>0.37894908858022491</v>
      </c>
      <c r="AE95" s="17">
        <f t="shared" si="218"/>
        <v>0.95973338156478072</v>
      </c>
      <c r="AF95" s="17">
        <f t="shared" si="219"/>
        <v>2.4306390034679208</v>
      </c>
      <c r="AG95" s="17">
        <f t="shared" si="220"/>
        <v>6.1558828212152674</v>
      </c>
      <c r="AH95" s="17">
        <f t="shared" si="221"/>
        <v>15.590506663395328</v>
      </c>
      <c r="AI95" s="17">
        <f t="shared" si="222"/>
        <v>39.484815639283291</v>
      </c>
      <c r="AJ95" s="16">
        <f t="shared" si="164"/>
        <v>100</v>
      </c>
      <c r="AN95" s="35"/>
      <c r="AO95" s="24">
        <f t="shared" si="165"/>
        <v>-1076400000</v>
      </c>
      <c r="AP95" s="20">
        <f t="shared" si="166"/>
        <v>-425014555.52910089</v>
      </c>
      <c r="AQ95" s="20">
        <f t="shared" si="167"/>
        <v>-167816213.68923482</v>
      </c>
      <c r="AR95" s="20">
        <f t="shared" si="168"/>
        <v>-66261922.59562704</v>
      </c>
      <c r="AS95" s="20">
        <f t="shared" si="169"/>
        <v>-26163397.999747083</v>
      </c>
      <c r="AT95" s="20">
        <f t="shared" si="170"/>
        <v>-10330569.527294876</v>
      </c>
      <c r="AU95" s="20">
        <f t="shared" si="171"/>
        <v>-4079006.4903836981</v>
      </c>
      <c r="AV95" s="20">
        <f t="shared" si="172"/>
        <v>-1610588.5931862965</v>
      </c>
      <c r="AW95" s="20">
        <f t="shared" si="173"/>
        <v>-635938.95126274938</v>
      </c>
      <c r="AX95" s="20">
        <f t="shared" si="174"/>
        <v>-251101.89196101492</v>
      </c>
      <c r="AY95" s="20">
        <f t="shared" si="175"/>
        <v>-99153.62663025748</v>
      </c>
      <c r="AZ95" s="20">
        <f t="shared" si="176"/>
        <v>-39167.107758002843</v>
      </c>
      <c r="BA95" s="20">
        <f t="shared" si="177"/>
        <v>-15506.800599472585</v>
      </c>
      <c r="BB95" s="20">
        <f t="shared" si="178"/>
        <v>-6228.543937480521</v>
      </c>
      <c r="BC95" s="20">
        <f t="shared" si="179"/>
        <v>-2727.0581092991665</v>
      </c>
      <c r="BD95" s="20">
        <f t="shared" si="180"/>
        <v>-1754.8295049624628</v>
      </c>
      <c r="BE95" s="20">
        <f t="shared" si="181"/>
        <v>-2410.1478850142512</v>
      </c>
      <c r="BF95" s="20">
        <f t="shared" si="182"/>
        <v>-5300.7996185869861</v>
      </c>
      <c r="BG95" s="20">
        <f t="shared" si="183"/>
        <v>-13107.769666663704</v>
      </c>
      <c r="BH95" s="20">
        <f t="shared" si="184"/>
        <v>-33071.767467413069</v>
      </c>
      <c r="BI95" s="20">
        <f t="shared" si="185"/>
        <v>-83708.748174918903</v>
      </c>
      <c r="BJ95" s="20">
        <f t="shared" si="186"/>
        <v>-211982.85560827106</v>
      </c>
      <c r="BK95" s="20">
        <f t="shared" si="187"/>
        <v>-536864.12995535857</v>
      </c>
      <c r="BL95" s="20">
        <f t="shared" si="188"/>
        <v>-1359669.3298258467</v>
      </c>
      <c r="BM95" s="20">
        <f t="shared" si="189"/>
        <v>-3443523.3730544331</v>
      </c>
      <c r="BN95" s="20">
        <f t="shared" si="190"/>
        <v>-8721132.7444428988</v>
      </c>
      <c r="BO95" s="20">
        <f t="shared" si="191"/>
        <v>-22087307.562520377</v>
      </c>
      <c r="BP95" s="20">
        <f t="shared" si="192"/>
        <v>-55938737.908262424</v>
      </c>
      <c r="BQ95" s="20">
        <f t="shared" si="193"/>
        <v>-141671518.51374844</v>
      </c>
      <c r="BR95" s="24">
        <f t="shared" si="194"/>
        <v>-358800000</v>
      </c>
      <c r="BU95" s="37"/>
      <c r="BV95" s="24">
        <f t="shared" si="102"/>
        <v>0.39804206615396576</v>
      </c>
      <c r="BW95" s="20">
        <f t="shared" si="103"/>
        <v>0.39804206615396576</v>
      </c>
      <c r="BX95" s="20">
        <f t="shared" si="104"/>
        <v>0.39804206615396576</v>
      </c>
      <c r="BY95" s="20">
        <f t="shared" si="105"/>
        <v>0.39804206615396576</v>
      </c>
      <c r="BZ95" s="20">
        <f t="shared" si="106"/>
        <v>0.39804206615396576</v>
      </c>
      <c r="CA95" s="20">
        <f t="shared" si="107"/>
        <v>0.39804206615396576</v>
      </c>
      <c r="CB95" s="20">
        <f t="shared" si="108"/>
        <v>0.39804206615396576</v>
      </c>
      <c r="CC95" s="20">
        <f t="shared" si="109"/>
        <v>0.39804206615396576</v>
      </c>
      <c r="CD95" s="20">
        <f t="shared" si="110"/>
        <v>0.39804206615396576</v>
      </c>
      <c r="CE95" s="20">
        <f t="shared" si="111"/>
        <v>0.39804206615396576</v>
      </c>
      <c r="CF95" s="20">
        <f t="shared" si="112"/>
        <v>0.39804206615396576</v>
      </c>
      <c r="CG95" s="20">
        <f t="shared" si="113"/>
        <v>0.39804206615396576</v>
      </c>
      <c r="CH95" s="20">
        <f t="shared" si="114"/>
        <v>0.39804206615396576</v>
      </c>
      <c r="CI95" s="20">
        <f t="shared" si="115"/>
        <v>0.39804206615396576</v>
      </c>
      <c r="CJ95" s="20">
        <f t="shared" si="116"/>
        <v>0.39804206615396576</v>
      </c>
      <c r="CK95" s="20">
        <f t="shared" si="117"/>
        <v>0.39804206615396576</v>
      </c>
      <c r="CL95" s="20">
        <f t="shared" si="118"/>
        <v>0.39804206615396576</v>
      </c>
      <c r="CM95" s="20">
        <f t="shared" si="119"/>
        <v>0.39804206615396576</v>
      </c>
      <c r="CN95" s="20">
        <f t="shared" si="120"/>
        <v>0.39804206615396576</v>
      </c>
      <c r="CO95" s="20">
        <f t="shared" si="121"/>
        <v>0.39804206615396576</v>
      </c>
      <c r="CP95" s="20">
        <f t="shared" si="122"/>
        <v>0.39804206615396576</v>
      </c>
      <c r="CQ95" s="20">
        <f t="shared" si="123"/>
        <v>0.39804206615396576</v>
      </c>
      <c r="CR95" s="20">
        <f t="shared" si="124"/>
        <v>0.39804206615396576</v>
      </c>
      <c r="CS95" s="20">
        <f t="shared" si="125"/>
        <v>0.39804206615396576</v>
      </c>
      <c r="CT95" s="20">
        <f t="shared" si="126"/>
        <v>0.39804206615396576</v>
      </c>
      <c r="CU95" s="20">
        <f t="shared" si="127"/>
        <v>0.39804206615396576</v>
      </c>
      <c r="CV95" s="20">
        <f t="shared" si="128"/>
        <v>0.39804206615396576</v>
      </c>
      <c r="CW95" s="20">
        <f t="shared" si="129"/>
        <v>0.39804206615396576</v>
      </c>
      <c r="CX95" s="20">
        <f t="shared" si="130"/>
        <v>0.39804206615396576</v>
      </c>
      <c r="CY95" s="24">
        <f t="shared" si="131"/>
        <v>0.39804206615396576</v>
      </c>
      <c r="DB95" s="37"/>
      <c r="DC95" s="24">
        <f t="shared" si="132"/>
        <v>180.5873801538103</v>
      </c>
      <c r="DD95" s="20">
        <f t="shared" si="133"/>
        <v>71.304594119506191</v>
      </c>
      <c r="DE95" s="20">
        <f t="shared" si="134"/>
        <v>28.154487530166211</v>
      </c>
      <c r="DF95" s="20">
        <f t="shared" si="135"/>
        <v>11.116747496747355</v>
      </c>
      <c r="DG95" s="20">
        <f t="shared" si="136"/>
        <v>4.389427258171466</v>
      </c>
      <c r="DH95" s="20">
        <f t="shared" si="137"/>
        <v>1.7331572709317802</v>
      </c>
      <c r="DI95" s="20">
        <f t="shared" si="138"/>
        <v>0.68433397968114118</v>
      </c>
      <c r="DJ95" s="20">
        <f t="shared" si="139"/>
        <v>0.27020807743322584</v>
      </c>
      <c r="DK95" s="20">
        <f t="shared" si="140"/>
        <v>0.10669133142540092</v>
      </c>
      <c r="DL95" s="20">
        <f t="shared" si="141"/>
        <v>4.2127306596901525E-2</v>
      </c>
      <c r="DM95" s="20">
        <f t="shared" si="142"/>
        <v>1.6634981109166922E-2</v>
      </c>
      <c r="DN95" s="20">
        <f t="shared" si="143"/>
        <v>6.5710566501483766E-3</v>
      </c>
      <c r="DO95" s="20">
        <f t="shared" si="144"/>
        <v>2.6015723660593546E-3</v>
      </c>
      <c r="DP95" s="20">
        <f t="shared" si="145"/>
        <v>1.0449613822394142E-3</v>
      </c>
      <c r="DQ95" s="20">
        <f t="shared" si="146"/>
        <v>4.5751791107909677E-4</v>
      </c>
      <c r="DR95" s="20">
        <f t="shared" si="147"/>
        <v>2.9440734198976127E-4</v>
      </c>
      <c r="DS95" s="20">
        <f t="shared" si="148"/>
        <v>4.0434995572089411E-4</v>
      </c>
      <c r="DT95" s="20">
        <f t="shared" si="149"/>
        <v>8.8931393147616191E-4</v>
      </c>
      <c r="DU95" s="20">
        <f t="shared" si="150"/>
        <v>2.1990874988502248E-3</v>
      </c>
      <c r="DV95" s="20">
        <f t="shared" si="151"/>
        <v>5.5484428130770525E-3</v>
      </c>
      <c r="DW95" s="20">
        <f t="shared" si="152"/>
        <v>1.4043797406971065E-2</v>
      </c>
      <c r="DX95" s="20">
        <f t="shared" si="153"/>
        <v>3.5564314875344782E-2</v>
      </c>
      <c r="DY95" s="20">
        <f t="shared" si="154"/>
        <v>9.0069571467106063E-2</v>
      </c>
      <c r="DZ95" s="20">
        <f t="shared" si="155"/>
        <v>0.22811141039459001</v>
      </c>
      <c r="EA95" s="20">
        <f t="shared" si="156"/>
        <v>0.57771912340980303</v>
      </c>
      <c r="EB95" s="20">
        <f t="shared" si="157"/>
        <v>1.4631424324531335</v>
      </c>
      <c r="EC95" s="20">
        <f t="shared" si="158"/>
        <v>3.7055825040570389</v>
      </c>
      <c r="ED95" s="20">
        <f t="shared" si="159"/>
        <v>9.3848291787102802</v>
      </c>
      <c r="EE95" s="20">
        <f t="shared" si="160"/>
        <v>23.768198040514552</v>
      </c>
      <c r="EF95" s="24">
        <f t="shared" si="161"/>
        <v>60.195793384603434</v>
      </c>
    </row>
    <row r="96" spans="6:136" ht="15" customHeight="1" x14ac:dyDescent="0.25">
      <c r="F96" s="38"/>
      <c r="G96" s="16">
        <f t="shared" si="162"/>
        <v>300</v>
      </c>
      <c r="H96" s="17">
        <f t="shared" si="195"/>
        <v>118.45444691446514</v>
      </c>
      <c r="I96" s="17">
        <f t="shared" si="196"/>
        <v>46.771519980277262</v>
      </c>
      <c r="J96" s="17">
        <f t="shared" si="197"/>
        <v>18.467648438023147</v>
      </c>
      <c r="K96" s="17">
        <f t="shared" si="198"/>
        <v>7.2919169453029777</v>
      </c>
      <c r="L96" s="17">
        <f t="shared" si="199"/>
        <v>2.8791999797365877</v>
      </c>
      <c r="M96" s="17">
        <f t="shared" si="200"/>
        <v>1.1368468479330263</v>
      </c>
      <c r="N96" s="17">
        <f t="shared" si="201"/>
        <v>0.44888199364166576</v>
      </c>
      <c r="O96" s="17">
        <f t="shared" si="202"/>
        <v>0.17724051038538169</v>
      </c>
      <c r="P96" s="17">
        <f t="shared" si="203"/>
        <v>6.998380489437428E-2</v>
      </c>
      <c r="Q96" s="17">
        <f t="shared" si="204"/>
        <v>2.7634790030729509E-2</v>
      </c>
      <c r="R96" s="17">
        <f t="shared" si="205"/>
        <v>1.0916139285953971E-2</v>
      </c>
      <c r="S96" s="17">
        <f t="shared" si="206"/>
        <v>4.3218507802320477E-3</v>
      </c>
      <c r="T96" s="17">
        <f t="shared" si="207"/>
        <v>1.7359375522520964E-3</v>
      </c>
      <c r="U96" s="17">
        <f t="shared" si="208"/>
        <v>7.6004964027290051E-4</v>
      </c>
      <c r="V96" s="17">
        <f t="shared" si="209"/>
        <v>4.8908291665620488E-4</v>
      </c>
      <c r="W96" s="17">
        <f t="shared" si="210"/>
        <v>6.7172460563384934E-4</v>
      </c>
      <c r="X96" s="17">
        <f t="shared" si="211"/>
        <v>1.4773689015013898E-3</v>
      </c>
      <c r="Y96" s="17">
        <f t="shared" si="212"/>
        <v>3.6532245447780673E-3</v>
      </c>
      <c r="Z96" s="17">
        <f t="shared" si="213"/>
        <v>9.217326495934524E-3</v>
      </c>
      <c r="AA96" s="17">
        <f t="shared" si="214"/>
        <v>2.3330197373165808E-2</v>
      </c>
      <c r="AB96" s="17">
        <f t="shared" si="215"/>
        <v>5.9081063435972983E-2</v>
      </c>
      <c r="AC96" s="17">
        <f t="shared" si="216"/>
        <v>0.14962768393404646</v>
      </c>
      <c r="AD96" s="17">
        <f t="shared" si="217"/>
        <v>0.37894908858022491</v>
      </c>
      <c r="AE96" s="17">
        <f t="shared" si="218"/>
        <v>0.95973338156478072</v>
      </c>
      <c r="AF96" s="17">
        <f t="shared" si="219"/>
        <v>2.4306390034679208</v>
      </c>
      <c r="AG96" s="17">
        <f t="shared" si="220"/>
        <v>6.1558828212152683</v>
      </c>
      <c r="AH96" s="17">
        <f t="shared" si="221"/>
        <v>15.590506663395328</v>
      </c>
      <c r="AI96" s="17">
        <f t="shared" si="222"/>
        <v>39.484815639283291</v>
      </c>
      <c r="AJ96" s="16">
        <f t="shared" si="164"/>
        <v>100</v>
      </c>
      <c r="AN96" s="35"/>
      <c r="AO96" s="24">
        <f t="shared" si="165"/>
        <v>-1076400000</v>
      </c>
      <c r="AP96" s="20">
        <f t="shared" si="166"/>
        <v>-425014555.52910089</v>
      </c>
      <c r="AQ96" s="20">
        <f t="shared" si="167"/>
        <v>-167816213.68923482</v>
      </c>
      <c r="AR96" s="20">
        <f t="shared" si="168"/>
        <v>-66261922.59562704</v>
      </c>
      <c r="AS96" s="20">
        <f t="shared" si="169"/>
        <v>-26163397.999747083</v>
      </c>
      <c r="AT96" s="20">
        <f t="shared" si="170"/>
        <v>-10330569.527294876</v>
      </c>
      <c r="AU96" s="20">
        <f t="shared" si="171"/>
        <v>-4079006.4903836981</v>
      </c>
      <c r="AV96" s="20">
        <f t="shared" si="172"/>
        <v>-1610588.5931862965</v>
      </c>
      <c r="AW96" s="20">
        <f t="shared" si="173"/>
        <v>-635938.95126274938</v>
      </c>
      <c r="AX96" s="20">
        <f t="shared" si="174"/>
        <v>-251101.89196101492</v>
      </c>
      <c r="AY96" s="20">
        <f t="shared" si="175"/>
        <v>-99153.62663025748</v>
      </c>
      <c r="AZ96" s="20">
        <f t="shared" si="176"/>
        <v>-39167.107758002843</v>
      </c>
      <c r="BA96" s="20">
        <f t="shared" si="177"/>
        <v>-15506.800599472585</v>
      </c>
      <c r="BB96" s="20">
        <f t="shared" si="178"/>
        <v>-6228.543937480521</v>
      </c>
      <c r="BC96" s="20">
        <f t="shared" si="179"/>
        <v>-2727.0581092991665</v>
      </c>
      <c r="BD96" s="20">
        <f t="shared" si="180"/>
        <v>-1754.8295049624628</v>
      </c>
      <c r="BE96" s="20">
        <f t="shared" si="181"/>
        <v>-2410.1478850142512</v>
      </c>
      <c r="BF96" s="20">
        <f t="shared" si="182"/>
        <v>-5300.7996185869861</v>
      </c>
      <c r="BG96" s="20">
        <f t="shared" si="183"/>
        <v>-13107.769666663704</v>
      </c>
      <c r="BH96" s="20">
        <f t="shared" si="184"/>
        <v>-33071.767467413069</v>
      </c>
      <c r="BI96" s="20">
        <f t="shared" si="185"/>
        <v>-83708.748174918903</v>
      </c>
      <c r="BJ96" s="20">
        <f t="shared" si="186"/>
        <v>-211982.85560827106</v>
      </c>
      <c r="BK96" s="20">
        <f t="shared" si="187"/>
        <v>-536864.12995535857</v>
      </c>
      <c r="BL96" s="20">
        <f t="shared" si="188"/>
        <v>-1359669.3298258467</v>
      </c>
      <c r="BM96" s="20">
        <f t="shared" si="189"/>
        <v>-3443523.3730544331</v>
      </c>
      <c r="BN96" s="20">
        <f t="shared" si="190"/>
        <v>-8721132.7444428988</v>
      </c>
      <c r="BO96" s="20">
        <f t="shared" si="191"/>
        <v>-22087307.562520377</v>
      </c>
      <c r="BP96" s="20">
        <f t="shared" si="192"/>
        <v>-55938737.908262424</v>
      </c>
      <c r="BQ96" s="20">
        <f t="shared" si="193"/>
        <v>-141671518.51374844</v>
      </c>
      <c r="BR96" s="24">
        <f t="shared" si="194"/>
        <v>-358800000</v>
      </c>
      <c r="BU96" s="37"/>
      <c r="BV96" s="24">
        <f t="shared" si="102"/>
        <v>0.41517002114434032</v>
      </c>
      <c r="BW96" s="20">
        <f t="shared" si="103"/>
        <v>0.41517002114434032</v>
      </c>
      <c r="BX96" s="20">
        <f t="shared" si="104"/>
        <v>0.41517002114434032</v>
      </c>
      <c r="BY96" s="20">
        <f t="shared" si="105"/>
        <v>0.41517002114434032</v>
      </c>
      <c r="BZ96" s="20">
        <f t="shared" si="106"/>
        <v>0.41517002114434032</v>
      </c>
      <c r="CA96" s="20">
        <f t="shared" si="107"/>
        <v>0.41517002114434032</v>
      </c>
      <c r="CB96" s="20">
        <f t="shared" si="108"/>
        <v>0.41517002114434032</v>
      </c>
      <c r="CC96" s="20">
        <f t="shared" si="109"/>
        <v>0.41517002114434032</v>
      </c>
      <c r="CD96" s="20">
        <f t="shared" si="110"/>
        <v>0.41517002114434032</v>
      </c>
      <c r="CE96" s="20">
        <f t="shared" si="111"/>
        <v>0.41517002114434032</v>
      </c>
      <c r="CF96" s="20">
        <f t="shared" si="112"/>
        <v>0.41517002114434032</v>
      </c>
      <c r="CG96" s="20">
        <f t="shared" si="113"/>
        <v>0.41517002114434032</v>
      </c>
      <c r="CH96" s="20">
        <f t="shared" si="114"/>
        <v>0.41517002114434032</v>
      </c>
      <c r="CI96" s="20">
        <f t="shared" si="115"/>
        <v>0.41517002114434032</v>
      </c>
      <c r="CJ96" s="20">
        <f t="shared" si="116"/>
        <v>0.41517002114434032</v>
      </c>
      <c r="CK96" s="20">
        <f t="shared" si="117"/>
        <v>0.41517002114434032</v>
      </c>
      <c r="CL96" s="20">
        <f t="shared" si="118"/>
        <v>0.41517002114434032</v>
      </c>
      <c r="CM96" s="20">
        <f t="shared" si="119"/>
        <v>0.41517002114434032</v>
      </c>
      <c r="CN96" s="20">
        <f t="shared" si="120"/>
        <v>0.41517002114434032</v>
      </c>
      <c r="CO96" s="20">
        <f t="shared" si="121"/>
        <v>0.41517002114434032</v>
      </c>
      <c r="CP96" s="20">
        <f t="shared" si="122"/>
        <v>0.41517002114434032</v>
      </c>
      <c r="CQ96" s="20">
        <f t="shared" si="123"/>
        <v>0.41517002114434032</v>
      </c>
      <c r="CR96" s="20">
        <f t="shared" si="124"/>
        <v>0.41517002114434032</v>
      </c>
      <c r="CS96" s="20">
        <f t="shared" si="125"/>
        <v>0.41517002114434032</v>
      </c>
      <c r="CT96" s="20">
        <f t="shared" si="126"/>
        <v>0.41517002114434032</v>
      </c>
      <c r="CU96" s="20">
        <f t="shared" si="127"/>
        <v>0.41517002114434032</v>
      </c>
      <c r="CV96" s="20">
        <f t="shared" si="128"/>
        <v>0.41517002114434032</v>
      </c>
      <c r="CW96" s="20">
        <f t="shared" si="129"/>
        <v>0.41517002114434032</v>
      </c>
      <c r="CX96" s="20">
        <f t="shared" si="130"/>
        <v>0.41517002114434032</v>
      </c>
      <c r="CY96" s="24">
        <f t="shared" si="131"/>
        <v>0.41517002114434032</v>
      </c>
      <c r="DB96" s="37"/>
      <c r="DC96" s="24">
        <f t="shared" si="132"/>
        <v>175.44899365669792</v>
      </c>
      <c r="DD96" s="20">
        <f t="shared" si="133"/>
        <v>69.275711684345509</v>
      </c>
      <c r="DE96" s="20">
        <f t="shared" si="134"/>
        <v>27.353387041112619</v>
      </c>
      <c r="DF96" s="20">
        <f t="shared" si="135"/>
        <v>10.800434445522832</v>
      </c>
      <c r="DG96" s="20">
        <f t="shared" si="136"/>
        <v>4.264531632938767</v>
      </c>
      <c r="DH96" s="20">
        <f t="shared" si="137"/>
        <v>1.6838424632705644</v>
      </c>
      <c r="DI96" s="20">
        <f t="shared" si="138"/>
        <v>0.66486211803879514</v>
      </c>
      <c r="DJ96" s="20">
        <f t="shared" si="139"/>
        <v>0.26251964685014173</v>
      </c>
      <c r="DK96" s="20">
        <f t="shared" si="140"/>
        <v>0.10365556394104909</v>
      </c>
      <c r="DL96" s="20">
        <f t="shared" si="141"/>
        <v>4.0928627136615527E-2</v>
      </c>
      <c r="DM96" s="20">
        <f t="shared" si="142"/>
        <v>1.6161653669352134E-2</v>
      </c>
      <c r="DN96" s="20">
        <f t="shared" si="143"/>
        <v>6.3840855077898963E-3</v>
      </c>
      <c r="DO96" s="20">
        <f t="shared" si="144"/>
        <v>2.5275479004204246E-3</v>
      </c>
      <c r="DP96" s="20">
        <f t="shared" si="145"/>
        <v>1.0152283219783391E-3</v>
      </c>
      <c r="DQ96" s="20">
        <f t="shared" si="146"/>
        <v>4.4449981505005208E-4</v>
      </c>
      <c r="DR96" s="20">
        <f t="shared" si="147"/>
        <v>2.8603035180671267E-4</v>
      </c>
      <c r="DS96" s="20">
        <f t="shared" si="148"/>
        <v>3.9284468690967047E-4</v>
      </c>
      <c r="DT96" s="20">
        <f t="shared" si="149"/>
        <v>8.6400962342706702E-4</v>
      </c>
      <c r="DU96" s="20">
        <f t="shared" si="150"/>
        <v>2.1365152332775343E-3</v>
      </c>
      <c r="DV96" s="20">
        <f t="shared" si="151"/>
        <v>5.3905688597230992E-3</v>
      </c>
      <c r="DW96" s="20">
        <f t="shared" si="152"/>
        <v>1.3644198836446925E-2</v>
      </c>
      <c r="DX96" s="20">
        <f t="shared" si="153"/>
        <v>3.4552377080029971E-2</v>
      </c>
      <c r="DY96" s="20">
        <f t="shared" si="154"/>
        <v>8.7506755231369707E-2</v>
      </c>
      <c r="DZ96" s="20">
        <f t="shared" si="155"/>
        <v>0.22162078746174443</v>
      </c>
      <c r="EA96" s="20">
        <f t="shared" si="156"/>
        <v>0.56128085324760146</v>
      </c>
      <c r="EB96" s="20">
        <f t="shared" si="157"/>
        <v>1.421510557003886</v>
      </c>
      <c r="EC96" s="20">
        <f t="shared" si="158"/>
        <v>3.6001448201692439</v>
      </c>
      <c r="ED96" s="20">
        <f t="shared" si="159"/>
        <v>9.1177956823025106</v>
      </c>
      <c r="EE96" s="20">
        <f t="shared" si="160"/>
        <v>23.091903895441668</v>
      </c>
      <c r="EF96" s="24">
        <f t="shared" si="161"/>
        <v>58.482997885565972</v>
      </c>
    </row>
    <row r="97" spans="6:136" ht="15" customHeight="1" x14ac:dyDescent="0.25">
      <c r="F97" s="38"/>
      <c r="G97" s="16">
        <f t="shared" si="162"/>
        <v>300</v>
      </c>
      <c r="H97" s="17">
        <f t="shared" si="195"/>
        <v>118.45444691446514</v>
      </c>
      <c r="I97" s="17">
        <f t="shared" si="196"/>
        <v>46.771519980277262</v>
      </c>
      <c r="J97" s="17">
        <f t="shared" si="197"/>
        <v>18.467648438023147</v>
      </c>
      <c r="K97" s="17">
        <f t="shared" si="198"/>
        <v>7.2919169453029777</v>
      </c>
      <c r="L97" s="17">
        <f t="shared" si="199"/>
        <v>2.8791999797365877</v>
      </c>
      <c r="M97" s="17">
        <f t="shared" si="200"/>
        <v>1.1368468479330263</v>
      </c>
      <c r="N97" s="17">
        <f t="shared" si="201"/>
        <v>0.44888199364166576</v>
      </c>
      <c r="O97" s="17">
        <f t="shared" si="202"/>
        <v>0.17724051038538169</v>
      </c>
      <c r="P97" s="17">
        <f t="shared" si="203"/>
        <v>6.998380489437428E-2</v>
      </c>
      <c r="Q97" s="17">
        <f t="shared" si="204"/>
        <v>2.7634790030729509E-2</v>
      </c>
      <c r="R97" s="17">
        <f t="shared" si="205"/>
        <v>1.0916139285953971E-2</v>
      </c>
      <c r="S97" s="17">
        <f t="shared" si="206"/>
        <v>4.3218507802320477E-3</v>
      </c>
      <c r="T97" s="17">
        <f t="shared" si="207"/>
        <v>1.7359375522520964E-3</v>
      </c>
      <c r="U97" s="17">
        <f t="shared" si="208"/>
        <v>7.6004964027290051E-4</v>
      </c>
      <c r="V97" s="17">
        <f t="shared" si="209"/>
        <v>4.8908291665620488E-4</v>
      </c>
      <c r="W97" s="17">
        <f t="shared" si="210"/>
        <v>6.7172460563384934E-4</v>
      </c>
      <c r="X97" s="17">
        <f t="shared" si="211"/>
        <v>1.4773689015013898E-3</v>
      </c>
      <c r="Y97" s="17">
        <f t="shared" si="212"/>
        <v>3.6532245447780673E-3</v>
      </c>
      <c r="Z97" s="17">
        <f t="shared" si="213"/>
        <v>9.217326495934524E-3</v>
      </c>
      <c r="AA97" s="17">
        <f t="shared" si="214"/>
        <v>2.3330197373165808E-2</v>
      </c>
      <c r="AB97" s="17">
        <f t="shared" si="215"/>
        <v>5.9081063435972983E-2</v>
      </c>
      <c r="AC97" s="17">
        <f t="shared" si="216"/>
        <v>0.14962768393404646</v>
      </c>
      <c r="AD97" s="17">
        <f t="shared" si="217"/>
        <v>0.37894908858022491</v>
      </c>
      <c r="AE97" s="17">
        <f t="shared" si="218"/>
        <v>0.95973338156478083</v>
      </c>
      <c r="AF97" s="17">
        <f t="shared" si="219"/>
        <v>2.4306390034679208</v>
      </c>
      <c r="AG97" s="17">
        <f t="shared" si="220"/>
        <v>6.1558828212152683</v>
      </c>
      <c r="AH97" s="17">
        <f t="shared" si="221"/>
        <v>15.590506663395328</v>
      </c>
      <c r="AI97" s="17">
        <f t="shared" si="222"/>
        <v>39.484815639283291</v>
      </c>
      <c r="AJ97" s="16">
        <f t="shared" si="164"/>
        <v>100</v>
      </c>
      <c r="AN97" s="35"/>
      <c r="AO97" s="24">
        <f t="shared" si="165"/>
        <v>-1076400000</v>
      </c>
      <c r="AP97" s="20">
        <f t="shared" si="166"/>
        <v>-425014555.52910089</v>
      </c>
      <c r="AQ97" s="20">
        <f t="shared" si="167"/>
        <v>-167816213.68923482</v>
      </c>
      <c r="AR97" s="20">
        <f t="shared" si="168"/>
        <v>-66261922.59562704</v>
      </c>
      <c r="AS97" s="20">
        <f t="shared" si="169"/>
        <v>-26163397.999747083</v>
      </c>
      <c r="AT97" s="20">
        <f t="shared" si="170"/>
        <v>-10330569.527294876</v>
      </c>
      <c r="AU97" s="20">
        <f t="shared" si="171"/>
        <v>-4079006.4903836981</v>
      </c>
      <c r="AV97" s="20">
        <f t="shared" si="172"/>
        <v>-1610588.5931862965</v>
      </c>
      <c r="AW97" s="20">
        <f t="shared" si="173"/>
        <v>-635938.95126274938</v>
      </c>
      <c r="AX97" s="20">
        <f t="shared" si="174"/>
        <v>-251101.89196101492</v>
      </c>
      <c r="AY97" s="20">
        <f t="shared" si="175"/>
        <v>-99153.62663025748</v>
      </c>
      <c r="AZ97" s="20">
        <f t="shared" si="176"/>
        <v>-39167.107758002843</v>
      </c>
      <c r="BA97" s="20">
        <f t="shared" si="177"/>
        <v>-15506.800599472585</v>
      </c>
      <c r="BB97" s="20">
        <f t="shared" si="178"/>
        <v>-6228.543937480521</v>
      </c>
      <c r="BC97" s="20">
        <f t="shared" si="179"/>
        <v>-2727.0581092991665</v>
      </c>
      <c r="BD97" s="20">
        <f t="shared" si="180"/>
        <v>-1754.8295049624628</v>
      </c>
      <c r="BE97" s="20">
        <f t="shared" si="181"/>
        <v>-2410.1478850142512</v>
      </c>
      <c r="BF97" s="20">
        <f t="shared" si="182"/>
        <v>-5300.7996185869861</v>
      </c>
      <c r="BG97" s="20">
        <f t="shared" si="183"/>
        <v>-13107.769666663704</v>
      </c>
      <c r="BH97" s="20">
        <f t="shared" si="184"/>
        <v>-33071.767467413069</v>
      </c>
      <c r="BI97" s="20">
        <f t="shared" si="185"/>
        <v>-83708.748174918903</v>
      </c>
      <c r="BJ97" s="20">
        <f t="shared" si="186"/>
        <v>-211982.85560827106</v>
      </c>
      <c r="BK97" s="20">
        <f t="shared" si="187"/>
        <v>-536864.12995535857</v>
      </c>
      <c r="BL97" s="20">
        <f t="shared" si="188"/>
        <v>-1359669.3298258467</v>
      </c>
      <c r="BM97" s="20">
        <f t="shared" si="189"/>
        <v>-3443523.3730544331</v>
      </c>
      <c r="BN97" s="20">
        <f t="shared" si="190"/>
        <v>-8721132.7444428988</v>
      </c>
      <c r="BO97" s="20">
        <f t="shared" si="191"/>
        <v>-22087307.562520377</v>
      </c>
      <c r="BP97" s="20">
        <f t="shared" si="192"/>
        <v>-55938737.908262424</v>
      </c>
      <c r="BQ97" s="20">
        <f t="shared" si="193"/>
        <v>-141671518.51374844</v>
      </c>
      <c r="BR97" s="24">
        <f t="shared" si="194"/>
        <v>-358800000</v>
      </c>
      <c r="BU97" s="37"/>
      <c r="BV97" s="24">
        <f>$C$22/($C$23-$C$24*BV98)</f>
        <v>0.51881554595928436</v>
      </c>
      <c r="BW97" s="20">
        <f t="shared" ref="BW97:CY97" si="223">$C$22/($C$23-$C$24*BW98)</f>
        <v>0.51881554595928436</v>
      </c>
      <c r="BX97" s="20">
        <f t="shared" si="223"/>
        <v>0.51881554595928436</v>
      </c>
      <c r="BY97" s="20">
        <f t="shared" si="223"/>
        <v>0.51881554595928436</v>
      </c>
      <c r="BZ97" s="20">
        <f t="shared" si="223"/>
        <v>0.51881554595928436</v>
      </c>
      <c r="CA97" s="20">
        <f t="shared" si="223"/>
        <v>0.51881554595928436</v>
      </c>
      <c r="CB97" s="20">
        <f t="shared" si="223"/>
        <v>0.51881554595928436</v>
      </c>
      <c r="CC97" s="20">
        <f t="shared" si="223"/>
        <v>0.51881554595928436</v>
      </c>
      <c r="CD97" s="20">
        <f t="shared" si="223"/>
        <v>0.51881554595928436</v>
      </c>
      <c r="CE97" s="20">
        <f t="shared" si="223"/>
        <v>0.51881554595928436</v>
      </c>
      <c r="CF97" s="20">
        <f t="shared" si="223"/>
        <v>0.51881554595928436</v>
      </c>
      <c r="CG97" s="20">
        <f t="shared" si="223"/>
        <v>0.51881554595928436</v>
      </c>
      <c r="CH97" s="20">
        <f t="shared" si="223"/>
        <v>0.51881554595928436</v>
      </c>
      <c r="CI97" s="20">
        <f t="shared" si="223"/>
        <v>0.51881554595928436</v>
      </c>
      <c r="CJ97" s="20">
        <f t="shared" si="223"/>
        <v>0.51881554595928436</v>
      </c>
      <c r="CK97" s="20">
        <f t="shared" si="223"/>
        <v>0.51881554595928436</v>
      </c>
      <c r="CL97" s="20">
        <f t="shared" si="223"/>
        <v>0.51881554595928436</v>
      </c>
      <c r="CM97" s="20">
        <f t="shared" si="223"/>
        <v>0.51881554595928436</v>
      </c>
      <c r="CN97" s="20">
        <f t="shared" si="223"/>
        <v>0.51881554595928436</v>
      </c>
      <c r="CO97" s="20">
        <f t="shared" si="223"/>
        <v>0.51881554595928436</v>
      </c>
      <c r="CP97" s="20">
        <f t="shared" si="223"/>
        <v>0.51881554595928436</v>
      </c>
      <c r="CQ97" s="20">
        <f t="shared" si="223"/>
        <v>0.51881554595928436</v>
      </c>
      <c r="CR97" s="20">
        <f t="shared" si="223"/>
        <v>0.51881554595928436</v>
      </c>
      <c r="CS97" s="20">
        <f t="shared" si="223"/>
        <v>0.51881554595928436</v>
      </c>
      <c r="CT97" s="20">
        <f t="shared" si="223"/>
        <v>0.51881554595928436</v>
      </c>
      <c r="CU97" s="20">
        <f t="shared" si="223"/>
        <v>0.51881554595928436</v>
      </c>
      <c r="CV97" s="20">
        <f t="shared" si="223"/>
        <v>0.51881554595928436</v>
      </c>
      <c r="CW97" s="20">
        <f t="shared" si="223"/>
        <v>0.51881554595928436</v>
      </c>
      <c r="CX97" s="20">
        <f t="shared" si="223"/>
        <v>0.51881554595928436</v>
      </c>
      <c r="CY97" s="24">
        <f t="shared" si="223"/>
        <v>0.51881554595928436</v>
      </c>
      <c r="DB97" s="37"/>
      <c r="DC97" s="24">
        <f>(DC98*$C$24-AO97)/($C$23-$C$24*BV98)</f>
        <v>144.3553362122147</v>
      </c>
      <c r="DD97" s="20">
        <f t="shared" ref="DD97:EF97" si="224">(DD98*$C$24-AP97)/($C$23-$C$24*BW98)</f>
        <v>56.998438367231842</v>
      </c>
      <c r="DE97" s="20">
        <f t="shared" si="224"/>
        <v>22.505728306364141</v>
      </c>
      <c r="DF97" s="20">
        <f t="shared" si="224"/>
        <v>8.8863453310660425</v>
      </c>
      <c r="DG97" s="20">
        <f t="shared" si="224"/>
        <v>3.5087570742358563</v>
      </c>
      <c r="DH97" s="20">
        <f t="shared" si="224"/>
        <v>1.3854262703235896</v>
      </c>
      <c r="DI97" s="20">
        <f t="shared" si="224"/>
        <v>0.54703302985056179</v>
      </c>
      <c r="DJ97" s="20">
        <f t="shared" si="224"/>
        <v>0.21599503703917292</v>
      </c>
      <c r="DK97" s="20">
        <f t="shared" si="224"/>
        <v>8.5285378223687661E-2</v>
      </c>
      <c r="DL97" s="20">
        <f t="shared" si="224"/>
        <v>3.3675118949791451E-2</v>
      </c>
      <c r="DM97" s="20">
        <f t="shared" si="224"/>
        <v>1.3297431353466392E-2</v>
      </c>
      <c r="DN97" s="20">
        <f t="shared" si="224"/>
        <v>5.2526765225441689E-3</v>
      </c>
      <c r="DO97" s="20">
        <f t="shared" si="224"/>
        <v>2.0796074081313987E-3</v>
      </c>
      <c r="DP97" s="20">
        <f t="shared" si="224"/>
        <v>8.3530616332920125E-4</v>
      </c>
      <c r="DQ97" s="20">
        <f t="shared" si="224"/>
        <v>3.657240711985579E-4</v>
      </c>
      <c r="DR97" s="20">
        <f t="shared" si="224"/>
        <v>2.3533909623185676E-4</v>
      </c>
      <c r="DS97" s="20">
        <f t="shared" si="224"/>
        <v>3.232234376276388E-4</v>
      </c>
      <c r="DT97" s="20">
        <f t="shared" si="224"/>
        <v>7.1088694828567805E-4</v>
      </c>
      <c r="DU97" s="20">
        <f t="shared" si="224"/>
        <v>1.7578748580671761E-3</v>
      </c>
      <c r="DV97" s="20">
        <f t="shared" si="224"/>
        <v>4.4352342176612759E-3</v>
      </c>
      <c r="DW97" s="20">
        <f t="shared" si="224"/>
        <v>1.1226128285668926E-2</v>
      </c>
      <c r="DX97" s="20">
        <f t="shared" si="224"/>
        <v>2.8428889253583549E-2</v>
      </c>
      <c r="DY97" s="20">
        <f t="shared" si="224"/>
        <v>7.199851540318089E-2</v>
      </c>
      <c r="DZ97" s="20">
        <f t="shared" si="224"/>
        <v>0.18234441029770229</v>
      </c>
      <c r="EA97" s="20">
        <f t="shared" si="224"/>
        <v>0.46180878323289887</v>
      </c>
      <c r="EB97" s="20">
        <f t="shared" si="224"/>
        <v>1.1695857018537805</v>
      </c>
      <c r="EC97" s="20">
        <f t="shared" si="224"/>
        <v>2.9621151144650888</v>
      </c>
      <c r="ED97" s="20">
        <f t="shared" si="224"/>
        <v>7.5019094370440191</v>
      </c>
      <c r="EE97" s="20">
        <f t="shared" si="224"/>
        <v>18.999479456286842</v>
      </c>
      <c r="EF97" s="24">
        <f t="shared" si="224"/>
        <v>48.118445404071565</v>
      </c>
    </row>
    <row r="98" spans="6:136" ht="15" customHeight="1" x14ac:dyDescent="0.25">
      <c r="F98" s="38"/>
      <c r="G98" s="16">
        <f t="shared" si="162"/>
        <v>300</v>
      </c>
      <c r="H98" s="23">
        <f t="shared" si="195"/>
        <v>118.45444691446514</v>
      </c>
      <c r="I98" s="23">
        <f t="shared" si="196"/>
        <v>46.771519980277262</v>
      </c>
      <c r="J98" s="23">
        <f t="shared" si="197"/>
        <v>18.467648438023147</v>
      </c>
      <c r="K98" s="23">
        <f t="shared" si="198"/>
        <v>7.2919169453029777</v>
      </c>
      <c r="L98" s="23">
        <f t="shared" si="199"/>
        <v>2.8791999797365877</v>
      </c>
      <c r="M98" s="23">
        <f t="shared" si="200"/>
        <v>1.1368468479330263</v>
      </c>
      <c r="N98" s="23">
        <f t="shared" si="201"/>
        <v>0.44888199364166576</v>
      </c>
      <c r="O98" s="23">
        <f t="shared" si="202"/>
        <v>0.17724051038538169</v>
      </c>
      <c r="P98" s="23">
        <f t="shared" si="203"/>
        <v>6.998380489437428E-2</v>
      </c>
      <c r="Q98" s="23">
        <f t="shared" si="204"/>
        <v>2.7634790030729509E-2</v>
      </c>
      <c r="R98" s="23">
        <f t="shared" si="205"/>
        <v>1.0916139285953971E-2</v>
      </c>
      <c r="S98" s="23">
        <f t="shared" si="206"/>
        <v>4.3218507802320477E-3</v>
      </c>
      <c r="T98" s="23">
        <f t="shared" si="207"/>
        <v>1.7359375522520964E-3</v>
      </c>
      <c r="U98" s="23">
        <f t="shared" si="208"/>
        <v>7.6004964027290051E-4</v>
      </c>
      <c r="V98" s="23">
        <f t="shared" si="209"/>
        <v>4.8908291665620488E-4</v>
      </c>
      <c r="W98" s="23">
        <f t="shared" si="210"/>
        <v>6.7172460563384934E-4</v>
      </c>
      <c r="X98" s="23">
        <f t="shared" si="211"/>
        <v>1.4773689015013898E-3</v>
      </c>
      <c r="Y98" s="23">
        <f t="shared" si="212"/>
        <v>3.6532245447780673E-3</v>
      </c>
      <c r="Z98" s="23">
        <f t="shared" si="213"/>
        <v>9.217326495934524E-3</v>
      </c>
      <c r="AA98" s="23">
        <f t="shared" si="214"/>
        <v>2.3330197373165808E-2</v>
      </c>
      <c r="AB98" s="23">
        <f t="shared" si="215"/>
        <v>5.9081063435972983E-2</v>
      </c>
      <c r="AC98" s="23">
        <f t="shared" si="216"/>
        <v>0.14962768393404646</v>
      </c>
      <c r="AD98" s="23">
        <f t="shared" si="217"/>
        <v>0.37894908858022491</v>
      </c>
      <c r="AE98" s="23">
        <f t="shared" si="218"/>
        <v>0.95973338156478083</v>
      </c>
      <c r="AF98" s="23">
        <f t="shared" si="219"/>
        <v>2.4306390034679208</v>
      </c>
      <c r="AG98" s="23">
        <f t="shared" si="220"/>
        <v>6.1558828212152683</v>
      </c>
      <c r="AH98" s="23">
        <f t="shared" si="221"/>
        <v>15.590506663395328</v>
      </c>
      <c r="AI98" s="23">
        <f t="shared" si="222"/>
        <v>39.484815639283291</v>
      </c>
      <c r="AJ98" s="16">
        <f t="shared" si="164"/>
        <v>100</v>
      </c>
      <c r="AN98" s="35"/>
      <c r="AO98" s="24">
        <f t="shared" si="165"/>
        <v>-1076400000</v>
      </c>
      <c r="AP98" s="24">
        <f t="shared" si="166"/>
        <v>-425014555.52910089</v>
      </c>
      <c r="AQ98" s="24">
        <f t="shared" si="167"/>
        <v>-167816213.68923482</v>
      </c>
      <c r="AR98" s="24">
        <f t="shared" si="168"/>
        <v>-66261922.59562704</v>
      </c>
      <c r="AS98" s="24">
        <f t="shared" si="169"/>
        <v>-26163397.999747083</v>
      </c>
      <c r="AT98" s="24">
        <f t="shared" si="170"/>
        <v>-10330569.527294876</v>
      </c>
      <c r="AU98" s="24">
        <f t="shared" si="171"/>
        <v>-4079006.4903836981</v>
      </c>
      <c r="AV98" s="24">
        <f t="shared" si="172"/>
        <v>-1610588.5931862965</v>
      </c>
      <c r="AW98" s="24">
        <f t="shared" si="173"/>
        <v>-635938.95126274938</v>
      </c>
      <c r="AX98" s="24">
        <f t="shared" si="174"/>
        <v>-251101.89196101492</v>
      </c>
      <c r="AY98" s="24">
        <f t="shared" si="175"/>
        <v>-99153.62663025748</v>
      </c>
      <c r="AZ98" s="24">
        <f t="shared" si="176"/>
        <v>-39167.107758002843</v>
      </c>
      <c r="BA98" s="24">
        <f t="shared" si="177"/>
        <v>-15506.800599472585</v>
      </c>
      <c r="BB98" s="24">
        <f t="shared" si="178"/>
        <v>-6228.543937480521</v>
      </c>
      <c r="BC98" s="24">
        <f t="shared" si="179"/>
        <v>-2727.0581092991665</v>
      </c>
      <c r="BD98" s="24">
        <f t="shared" si="180"/>
        <v>-1754.8295049624628</v>
      </c>
      <c r="BE98" s="24">
        <f t="shared" si="181"/>
        <v>-2410.1478850142512</v>
      </c>
      <c r="BF98" s="24">
        <f t="shared" si="182"/>
        <v>-5300.7996185869861</v>
      </c>
      <c r="BG98" s="24">
        <f t="shared" si="183"/>
        <v>-13107.769666663704</v>
      </c>
      <c r="BH98" s="24">
        <f t="shared" si="184"/>
        <v>-33071.767467413069</v>
      </c>
      <c r="BI98" s="24">
        <f t="shared" si="185"/>
        <v>-83708.748174918903</v>
      </c>
      <c r="BJ98" s="24">
        <f t="shared" si="186"/>
        <v>-211982.85560827106</v>
      </c>
      <c r="BK98" s="24">
        <f t="shared" si="187"/>
        <v>-536864.12995535857</v>
      </c>
      <c r="BL98" s="24">
        <f t="shared" si="188"/>
        <v>-1359669.3298258467</v>
      </c>
      <c r="BM98" s="24">
        <f t="shared" si="189"/>
        <v>-3443523.3730544331</v>
      </c>
      <c r="BN98" s="24">
        <f t="shared" si="190"/>
        <v>-8721132.7444428988</v>
      </c>
      <c r="BO98" s="24">
        <f t="shared" si="191"/>
        <v>-22087307.562520377</v>
      </c>
      <c r="BP98" s="24">
        <f t="shared" si="192"/>
        <v>-55938737.908262424</v>
      </c>
      <c r="BQ98" s="24">
        <f t="shared" si="193"/>
        <v>-141671518.51374844</v>
      </c>
      <c r="BR98" s="24">
        <f t="shared" si="194"/>
        <v>-358800000</v>
      </c>
      <c r="BU98" s="37"/>
      <c r="BV98" s="24">
        <v>1</v>
      </c>
      <c r="BW98" s="24">
        <v>1</v>
      </c>
      <c r="BX98" s="24">
        <v>1</v>
      </c>
      <c r="BY98" s="24">
        <v>1</v>
      </c>
      <c r="BZ98" s="24">
        <v>1</v>
      </c>
      <c r="CA98" s="24">
        <v>1</v>
      </c>
      <c r="CB98" s="24">
        <v>1</v>
      </c>
      <c r="CC98" s="24">
        <v>1</v>
      </c>
      <c r="CD98" s="24">
        <v>1</v>
      </c>
      <c r="CE98" s="24">
        <v>1</v>
      </c>
      <c r="CF98" s="24">
        <v>1</v>
      </c>
      <c r="CG98" s="24">
        <v>1</v>
      </c>
      <c r="CH98" s="24">
        <v>1</v>
      </c>
      <c r="CI98" s="24">
        <v>1</v>
      </c>
      <c r="CJ98" s="24">
        <v>1</v>
      </c>
      <c r="CK98" s="24">
        <v>1</v>
      </c>
      <c r="CL98" s="24">
        <v>1</v>
      </c>
      <c r="CM98" s="24">
        <v>1</v>
      </c>
      <c r="CN98" s="24">
        <v>1</v>
      </c>
      <c r="CO98" s="24">
        <v>1</v>
      </c>
      <c r="CP98" s="24">
        <v>1</v>
      </c>
      <c r="CQ98" s="24">
        <v>1</v>
      </c>
      <c r="CR98" s="24">
        <v>1</v>
      </c>
      <c r="CS98" s="24">
        <v>1</v>
      </c>
      <c r="CT98" s="24">
        <v>1</v>
      </c>
      <c r="CU98" s="24">
        <v>1</v>
      </c>
      <c r="CV98" s="24">
        <v>1</v>
      </c>
      <c r="CW98" s="24">
        <v>1</v>
      </c>
      <c r="CX98" s="24">
        <v>1</v>
      </c>
      <c r="CY98" s="24">
        <v>1</v>
      </c>
      <c r="DB98" s="37"/>
      <c r="DC98" s="16">
        <v>0</v>
      </c>
      <c r="DD98" s="16">
        <v>0</v>
      </c>
      <c r="DE98" s="16">
        <v>0</v>
      </c>
      <c r="DF98" s="16">
        <v>0</v>
      </c>
      <c r="DG98" s="16">
        <v>0</v>
      </c>
      <c r="DH98" s="16">
        <v>0</v>
      </c>
      <c r="DI98" s="16">
        <v>0</v>
      </c>
      <c r="DJ98" s="16">
        <v>0</v>
      </c>
      <c r="DK98" s="16">
        <v>0</v>
      </c>
      <c r="DL98" s="16">
        <v>0</v>
      </c>
      <c r="DM98" s="16">
        <v>0</v>
      </c>
      <c r="DN98" s="16">
        <v>0</v>
      </c>
      <c r="DO98" s="16">
        <v>0</v>
      </c>
      <c r="DP98" s="16">
        <v>0</v>
      </c>
      <c r="DQ98" s="16">
        <v>0</v>
      </c>
      <c r="DR98" s="16">
        <v>0</v>
      </c>
      <c r="DS98" s="16">
        <v>0</v>
      </c>
      <c r="DT98" s="16">
        <v>0</v>
      </c>
      <c r="DU98" s="16">
        <v>0</v>
      </c>
      <c r="DV98" s="16">
        <v>0</v>
      </c>
      <c r="DW98" s="16">
        <v>0</v>
      </c>
      <c r="DX98" s="16">
        <v>0</v>
      </c>
      <c r="DY98" s="16">
        <v>0</v>
      </c>
      <c r="DZ98" s="16">
        <v>0</v>
      </c>
      <c r="EA98" s="16">
        <v>0</v>
      </c>
      <c r="EB98" s="16">
        <v>0</v>
      </c>
      <c r="EC98" s="16">
        <v>0</v>
      </c>
      <c r="ED98" s="16">
        <v>0</v>
      </c>
      <c r="EE98" s="16">
        <v>0</v>
      </c>
      <c r="EF98" s="16">
        <v>0</v>
      </c>
    </row>
  </sheetData>
  <mergeCells count="12">
    <mergeCell ref="AN69:AN98"/>
    <mergeCell ref="DB69:DB98"/>
    <mergeCell ref="F69:F98"/>
    <mergeCell ref="AN37:AN66"/>
    <mergeCell ref="BU37:BU66"/>
    <mergeCell ref="DB37:DB66"/>
    <mergeCell ref="BU69:BU98"/>
    <mergeCell ref="A3:A8"/>
    <mergeCell ref="A10:A12"/>
    <mergeCell ref="A18:A20"/>
    <mergeCell ref="A22:A24"/>
    <mergeCell ref="F37:F66"/>
  </mergeCells>
  <conditionalFormatting sqref="G4:G33 AJ4:AJ33"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</conditionalFormatting>
  <conditionalFormatting sqref="G4:AJ3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1D</vt:lpstr>
      <vt:lpstr>Неявная 2D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2021-10-26T09:42:47Z</dcterms:created>
  <dcterms:modified xsi:type="dcterms:W3CDTF">2021-10-27T08:58:56Z</dcterms:modified>
</cp:coreProperties>
</file>