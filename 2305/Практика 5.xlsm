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Илья\Desktop\3 курс 5 семестр\Механика сплошной среды\Практика\папка гитхаб\4 dz\"/>
    </mc:Choice>
  </mc:AlternateContent>
  <bookViews>
    <workbookView xWindow="0" yWindow="0" windowWidth="8745" windowHeight="814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2" i="1" l="1"/>
  <c r="Y43" i="1" s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Y38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G54" i="1"/>
  <c r="Y10" i="1" s="1"/>
  <c r="H54" i="1"/>
  <c r="Z10" i="1" s="1"/>
  <c r="I54" i="1"/>
  <c r="AA10" i="1" s="1"/>
  <c r="J54" i="1"/>
  <c r="AB10" i="1" s="1"/>
  <c r="P59" i="1"/>
  <c r="AH10" i="1" s="1"/>
  <c r="Y12" i="1"/>
  <c r="Y13" i="1" s="1"/>
  <c r="AI8" i="1" l="1"/>
  <c r="AJ8" i="1"/>
  <c r="AK8" i="1"/>
  <c r="AL8" i="1"/>
  <c r="AM8" i="1"/>
  <c r="AH8" i="1"/>
  <c r="AG8" i="1"/>
  <c r="AF8" i="1"/>
  <c r="AE8" i="1"/>
  <c r="AD8" i="1"/>
  <c r="AC8" i="1"/>
  <c r="AB8" i="1"/>
  <c r="AA8" i="1"/>
  <c r="Z8" i="1"/>
  <c r="Y8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C6" i="1"/>
  <c r="U59" i="1"/>
  <c r="AM10" i="1" s="1"/>
  <c r="P49" i="1"/>
  <c r="AH40" i="1" s="1"/>
  <c r="Q49" i="1"/>
  <c r="AI40" i="1" s="1"/>
  <c r="R49" i="1"/>
  <c r="AJ40" i="1" s="1"/>
  <c r="S49" i="1"/>
  <c r="AK40" i="1" s="1"/>
  <c r="Q59" i="1"/>
  <c r="AI10" i="1" s="1"/>
  <c r="R59" i="1"/>
  <c r="AJ10" i="1" s="1"/>
  <c r="S59" i="1"/>
  <c r="AK10" i="1" s="1"/>
  <c r="T59" i="1"/>
  <c r="AL10" i="1" s="1"/>
  <c r="M49" i="1"/>
  <c r="AE40" i="1" s="1"/>
  <c r="I49" i="1"/>
  <c r="AA40" i="1" s="1"/>
  <c r="J49" i="1"/>
  <c r="AB40" i="1" s="1"/>
  <c r="K49" i="1"/>
  <c r="AC40" i="1" s="1"/>
  <c r="L49" i="1"/>
  <c r="AD40" i="1" s="1"/>
  <c r="N49" i="1"/>
  <c r="AF40" i="1" s="1"/>
  <c r="O49" i="1"/>
  <c r="AG40" i="1" s="1"/>
  <c r="L10" i="1"/>
  <c r="M10" i="1"/>
  <c r="M11" i="1"/>
  <c r="N10" i="1"/>
  <c r="N11" i="1"/>
  <c r="N12" i="1"/>
  <c r="M56" i="1" s="1"/>
  <c r="AE10" i="1" s="1"/>
  <c r="O10" i="1"/>
  <c r="O11" i="1"/>
  <c r="O12" i="1"/>
  <c r="O13" i="1"/>
  <c r="T14" i="1"/>
  <c r="P10" i="1"/>
  <c r="Q10" i="1"/>
  <c r="R10" i="1"/>
  <c r="S10" i="1"/>
  <c r="T10" i="1"/>
  <c r="P11" i="1"/>
  <c r="Q11" i="1"/>
  <c r="R11" i="1"/>
  <c r="S11" i="1"/>
  <c r="T11" i="1"/>
  <c r="P12" i="1"/>
  <c r="Q12" i="1"/>
  <c r="R12" i="1"/>
  <c r="S12" i="1"/>
  <c r="T12" i="1"/>
  <c r="P13" i="1"/>
  <c r="Q13" i="1"/>
  <c r="R13" i="1"/>
  <c r="S13" i="1"/>
  <c r="T13" i="1"/>
  <c r="P14" i="1"/>
  <c r="Q14" i="1"/>
  <c r="P58" i="1" s="1"/>
  <c r="R14" i="1"/>
  <c r="S14" i="1"/>
  <c r="R58" i="1" s="1"/>
  <c r="I6" i="1"/>
  <c r="J6" i="1"/>
  <c r="K6" i="1"/>
  <c r="L6" i="1"/>
  <c r="M6" i="1"/>
  <c r="N6" i="1"/>
  <c r="O6" i="1"/>
  <c r="P6" i="1"/>
  <c r="Q6" i="1"/>
  <c r="R6" i="1"/>
  <c r="S6" i="1"/>
  <c r="T6" i="1"/>
  <c r="I7" i="1"/>
  <c r="J7" i="1"/>
  <c r="K7" i="1"/>
  <c r="L7" i="1"/>
  <c r="M7" i="1"/>
  <c r="N7" i="1"/>
  <c r="O7" i="1"/>
  <c r="P7" i="1"/>
  <c r="Q7" i="1"/>
  <c r="R7" i="1"/>
  <c r="S7" i="1"/>
  <c r="T7" i="1"/>
  <c r="I8" i="1"/>
  <c r="J8" i="1"/>
  <c r="K8" i="1"/>
  <c r="L8" i="1"/>
  <c r="M8" i="1"/>
  <c r="N8" i="1"/>
  <c r="O8" i="1"/>
  <c r="P8" i="1"/>
  <c r="Q8" i="1"/>
  <c r="R8" i="1"/>
  <c r="S8" i="1"/>
  <c r="T8" i="1"/>
  <c r="I9" i="1"/>
  <c r="J9" i="1"/>
  <c r="K9" i="1"/>
  <c r="L9" i="1"/>
  <c r="M9" i="1"/>
  <c r="N9" i="1"/>
  <c r="O9" i="1"/>
  <c r="P9" i="1"/>
  <c r="Q9" i="1"/>
  <c r="R9" i="1"/>
  <c r="S9" i="1"/>
  <c r="T9" i="1"/>
  <c r="H7" i="1"/>
  <c r="H8" i="1"/>
  <c r="H38" i="1" s="1"/>
  <c r="H9" i="1"/>
  <c r="H6" i="1"/>
  <c r="U14" i="1"/>
  <c r="G9" i="1"/>
  <c r="G39" i="1" s="1"/>
  <c r="Y9" i="1" s="1"/>
  <c r="Q43" i="1" l="1"/>
  <c r="P57" i="1"/>
  <c r="M37" i="1"/>
  <c r="M35" i="1"/>
  <c r="L51" i="1"/>
  <c r="Q55" i="1"/>
  <c r="R41" i="1"/>
  <c r="S39" i="1"/>
  <c r="R53" i="1"/>
  <c r="O38" i="1"/>
  <c r="N52" i="1"/>
  <c r="S37" i="1"/>
  <c r="S35" i="1"/>
  <c r="R51" i="1"/>
  <c r="K37" i="1"/>
  <c r="K35" i="1"/>
  <c r="K64" i="1" s="1"/>
  <c r="J51" i="1"/>
  <c r="O36" i="1"/>
  <c r="N50" i="1"/>
  <c r="R44" i="1"/>
  <c r="Q58" i="1"/>
  <c r="T42" i="1"/>
  <c r="S56" i="1"/>
  <c r="P55" i="1"/>
  <c r="Q41" i="1"/>
  <c r="O43" i="1"/>
  <c r="AG9" i="1" s="1"/>
  <c r="N57" i="1"/>
  <c r="AF10" i="1" s="1"/>
  <c r="M40" i="1"/>
  <c r="L54" i="1"/>
  <c r="M39" i="1"/>
  <c r="L53" i="1"/>
  <c r="I36" i="1"/>
  <c r="T37" i="1"/>
  <c r="T35" i="1"/>
  <c r="S51" i="1"/>
  <c r="T44" i="1"/>
  <c r="S58" i="1"/>
  <c r="G8" i="1"/>
  <c r="I53" i="1"/>
  <c r="I67" i="1" s="1"/>
  <c r="J39" i="1"/>
  <c r="N38" i="1"/>
  <c r="M52" i="1"/>
  <c r="J37" i="1"/>
  <c r="J35" i="1"/>
  <c r="I51" i="1"/>
  <c r="N36" i="1"/>
  <c r="M50" i="1"/>
  <c r="R56" i="1"/>
  <c r="S42" i="1"/>
  <c r="O55" i="1"/>
  <c r="P41" i="1"/>
  <c r="N56" i="1"/>
  <c r="O42" i="1"/>
  <c r="L40" i="1"/>
  <c r="AD9" i="1" s="1"/>
  <c r="K54" i="1"/>
  <c r="AC10" i="1" s="1"/>
  <c r="I38" i="1"/>
  <c r="P40" i="1"/>
  <c r="O54" i="1"/>
  <c r="T39" i="1"/>
  <c r="S53" i="1"/>
  <c r="M41" i="1"/>
  <c r="AE9" i="1" s="1"/>
  <c r="L55" i="1"/>
  <c r="AD10" i="1" s="1"/>
  <c r="U43" i="1"/>
  <c r="T58" i="1"/>
  <c r="P53" i="1"/>
  <c r="Q39" i="1"/>
  <c r="I39" i="1"/>
  <c r="H53" i="1"/>
  <c r="M38" i="1"/>
  <c r="L52" i="1"/>
  <c r="L66" i="1" s="1"/>
  <c r="Q35" i="1"/>
  <c r="P51" i="1"/>
  <c r="Q37" i="1"/>
  <c r="I35" i="1"/>
  <c r="I37" i="1"/>
  <c r="L50" i="1"/>
  <c r="M36" i="1"/>
  <c r="P44" i="1"/>
  <c r="O58" i="1"/>
  <c r="AG10" i="1" s="1"/>
  <c r="Q56" i="1"/>
  <c r="R42" i="1"/>
  <c r="T40" i="1"/>
  <c r="S54" i="1"/>
  <c r="N55" i="1"/>
  <c r="O41" i="1"/>
  <c r="G38" i="1"/>
  <c r="H35" i="1"/>
  <c r="H37" i="1"/>
  <c r="M54" i="1"/>
  <c r="N40" i="1"/>
  <c r="P38" i="1"/>
  <c r="O52" i="1"/>
  <c r="O57" i="1"/>
  <c r="O71" i="1" s="1"/>
  <c r="P43" i="1"/>
  <c r="J53" i="1"/>
  <c r="K39" i="1"/>
  <c r="AC9" i="1" s="1"/>
  <c r="Q53" i="1"/>
  <c r="R39" i="1"/>
  <c r="R37" i="1"/>
  <c r="R35" i="1"/>
  <c r="Q51" i="1"/>
  <c r="H34" i="1"/>
  <c r="H36" i="1"/>
  <c r="P39" i="1"/>
  <c r="O53" i="1"/>
  <c r="S52" i="1"/>
  <c r="T38" i="1"/>
  <c r="L38" i="1"/>
  <c r="K52" i="1"/>
  <c r="O51" i="1"/>
  <c r="P35" i="1"/>
  <c r="P37" i="1"/>
  <c r="T34" i="1"/>
  <c r="AL39" i="1" s="1"/>
  <c r="S50" i="1"/>
  <c r="T36" i="1"/>
  <c r="L34" i="1"/>
  <c r="K50" i="1"/>
  <c r="L36" i="1"/>
  <c r="T43" i="1"/>
  <c r="S57" i="1"/>
  <c r="P56" i="1"/>
  <c r="Q42" i="1"/>
  <c r="S40" i="1"/>
  <c r="R54" i="1"/>
  <c r="O40" i="1"/>
  <c r="N54" i="1"/>
  <c r="Q36" i="1"/>
  <c r="P50" i="1"/>
  <c r="R55" i="1"/>
  <c r="S41" i="1"/>
  <c r="L37" i="1"/>
  <c r="L35" i="1"/>
  <c r="K51" i="1"/>
  <c r="O39" i="1"/>
  <c r="N53" i="1"/>
  <c r="K38" i="1"/>
  <c r="J52" i="1"/>
  <c r="R50" i="1"/>
  <c r="S36" i="1"/>
  <c r="J50" i="1"/>
  <c r="K36" i="1"/>
  <c r="S43" i="1"/>
  <c r="R57" i="1"/>
  <c r="O56" i="1"/>
  <c r="P42" i="1"/>
  <c r="R40" i="1"/>
  <c r="Q54" i="1"/>
  <c r="Q38" i="1"/>
  <c r="P52" i="1"/>
  <c r="L39" i="1"/>
  <c r="K53" i="1"/>
  <c r="P36" i="1"/>
  <c r="O50" i="1"/>
  <c r="G53" i="1"/>
  <c r="G67" i="1" s="1"/>
  <c r="H39" i="1"/>
  <c r="S38" i="1"/>
  <c r="R52" i="1"/>
  <c r="N51" i="1"/>
  <c r="O37" i="1"/>
  <c r="O35" i="1"/>
  <c r="N39" i="1"/>
  <c r="M53" i="1"/>
  <c r="R38" i="1"/>
  <c r="Q52" i="1"/>
  <c r="J38" i="1"/>
  <c r="I52" i="1"/>
  <c r="N37" i="1"/>
  <c r="N35" i="1"/>
  <c r="M51" i="1"/>
  <c r="R36" i="1"/>
  <c r="Q50" i="1"/>
  <c r="J36" i="1"/>
  <c r="I50" i="1"/>
  <c r="R43" i="1"/>
  <c r="Q57" i="1"/>
  <c r="T41" i="1"/>
  <c r="S55" i="1"/>
  <c r="Q40" i="1"/>
  <c r="P54" i="1"/>
  <c r="N41" i="1"/>
  <c r="M55" i="1"/>
  <c r="M69" i="1" s="1"/>
  <c r="P64" i="1"/>
  <c r="S34" i="1"/>
  <c r="M70" i="1"/>
  <c r="AE11" i="1" s="1"/>
  <c r="J67" i="1"/>
  <c r="I34" i="1"/>
  <c r="G52" i="1"/>
  <c r="P72" i="1"/>
  <c r="N42" i="1"/>
  <c r="AF9" i="1" s="1"/>
  <c r="R64" i="1"/>
  <c r="R34" i="1"/>
  <c r="Q34" i="1"/>
  <c r="P34" i="1"/>
  <c r="K34" i="1"/>
  <c r="O72" i="1"/>
  <c r="AG11" i="1" s="1"/>
  <c r="N68" i="1"/>
  <c r="J34" i="1"/>
  <c r="U58" i="1"/>
  <c r="U72" i="1" s="1"/>
  <c r="U13" i="1"/>
  <c r="T57" i="1" s="1"/>
  <c r="U44" i="1"/>
  <c r="H67" i="1"/>
  <c r="Q44" i="1"/>
  <c r="R72" i="1"/>
  <c r="O34" i="1"/>
  <c r="N34" i="1"/>
  <c r="N70" i="1"/>
  <c r="O64" i="1"/>
  <c r="U57" i="1"/>
  <c r="M34" i="1"/>
  <c r="S44" i="1"/>
  <c r="M63" i="1" l="1"/>
  <c r="AE41" i="1" s="1"/>
  <c r="AE39" i="1"/>
  <c r="Q73" i="1"/>
  <c r="AI11" i="1" s="1"/>
  <c r="AI9" i="1"/>
  <c r="R63" i="1"/>
  <c r="AJ41" i="1" s="1"/>
  <c r="AJ39" i="1"/>
  <c r="L63" i="1"/>
  <c r="AD41" i="1" s="1"/>
  <c r="AD39" i="1"/>
  <c r="G7" i="1"/>
  <c r="G37" i="1"/>
  <c r="S63" i="1"/>
  <c r="AK41" i="1" s="1"/>
  <c r="AK39" i="1"/>
  <c r="Z9" i="1"/>
  <c r="H68" i="1"/>
  <c r="Z11" i="1" s="1"/>
  <c r="S73" i="1"/>
  <c r="AK11" i="1" s="1"/>
  <c r="AK9" i="1"/>
  <c r="AA9" i="1"/>
  <c r="I68" i="1"/>
  <c r="AA11" i="1" s="1"/>
  <c r="T73" i="1"/>
  <c r="AL11" i="1" s="1"/>
  <c r="AL9" i="1"/>
  <c r="J63" i="1"/>
  <c r="AB41" i="1" s="1"/>
  <c r="AB39" i="1"/>
  <c r="U73" i="1"/>
  <c r="AM11" i="1" s="1"/>
  <c r="AM9" i="1"/>
  <c r="P63" i="1"/>
  <c r="AH41" i="1" s="1"/>
  <c r="AH39" i="1"/>
  <c r="L69" i="1"/>
  <c r="AD11" i="1" s="1"/>
  <c r="R73" i="1"/>
  <c r="AJ11" i="1" s="1"/>
  <c r="AJ9" i="1"/>
  <c r="K63" i="1"/>
  <c r="AC41" i="1" s="1"/>
  <c r="AC39" i="1"/>
  <c r="Q63" i="1"/>
  <c r="AI41" i="1" s="1"/>
  <c r="AI39" i="1"/>
  <c r="G66" i="1"/>
  <c r="N63" i="1"/>
  <c r="AF41" i="1" s="1"/>
  <c r="AF39" i="1"/>
  <c r="K68" i="1"/>
  <c r="AC11" i="1" s="1"/>
  <c r="O63" i="1"/>
  <c r="AG41" i="1" s="1"/>
  <c r="AG39" i="1"/>
  <c r="I63" i="1"/>
  <c r="AA41" i="1" s="1"/>
  <c r="AA39" i="1"/>
  <c r="Z39" i="1"/>
  <c r="P73" i="1"/>
  <c r="AH11" i="1" s="1"/>
  <c r="AH9" i="1"/>
  <c r="H52" i="1"/>
  <c r="H66" i="1" s="1"/>
  <c r="AB9" i="1"/>
  <c r="J68" i="1"/>
  <c r="AB11" i="1" s="1"/>
  <c r="O67" i="1"/>
  <c r="P71" i="1"/>
  <c r="Q68" i="1"/>
  <c r="P68" i="1"/>
  <c r="R66" i="1"/>
  <c r="R69" i="1"/>
  <c r="M64" i="1"/>
  <c r="K67" i="1"/>
  <c r="Q64" i="1"/>
  <c r="K65" i="1"/>
  <c r="M66" i="1"/>
  <c r="O66" i="1"/>
  <c r="O65" i="1"/>
  <c r="Q71" i="1"/>
  <c r="P70" i="1"/>
  <c r="S66" i="1"/>
  <c r="S71" i="1"/>
  <c r="J64" i="1"/>
  <c r="P65" i="1"/>
  <c r="S65" i="1"/>
  <c r="S70" i="1"/>
  <c r="N71" i="1"/>
  <c r="AF11" i="1" s="1"/>
  <c r="K66" i="1"/>
  <c r="M68" i="1"/>
  <c r="Q65" i="1"/>
  <c r="P67" i="1"/>
  <c r="R67" i="1"/>
  <c r="M67" i="1"/>
  <c r="Q67" i="1"/>
  <c r="O70" i="1"/>
  <c r="P66" i="1"/>
  <c r="Q66" i="1"/>
  <c r="S67" i="1"/>
  <c r="I64" i="1"/>
  <c r="L67" i="1"/>
  <c r="N67" i="1"/>
  <c r="R71" i="1"/>
  <c r="N69" i="1"/>
  <c r="O68" i="1"/>
  <c r="Q69" i="1"/>
  <c r="R65" i="1"/>
  <c r="P69" i="1"/>
  <c r="I65" i="1"/>
  <c r="R68" i="1"/>
  <c r="Q70" i="1"/>
  <c r="L68" i="1"/>
  <c r="L65" i="1"/>
  <c r="T72" i="1"/>
  <c r="R70" i="1"/>
  <c r="N64" i="1"/>
  <c r="L64" i="1"/>
  <c r="Q72" i="1"/>
  <c r="J65" i="1"/>
  <c r="J66" i="1"/>
  <c r="S64" i="1"/>
  <c r="N65" i="1"/>
  <c r="N66" i="1"/>
  <c r="I66" i="1"/>
  <c r="S72" i="1"/>
  <c r="S69" i="1"/>
  <c r="T71" i="1"/>
  <c r="M65" i="1"/>
  <c r="U12" i="1"/>
  <c r="T56" i="1" s="1"/>
  <c r="U42" i="1"/>
  <c r="U71" i="1" s="1"/>
  <c r="S68" i="1"/>
  <c r="O69" i="1"/>
  <c r="G6" i="1" l="1"/>
  <c r="G36" i="1"/>
  <c r="G51" i="1"/>
  <c r="G65" i="1" s="1"/>
  <c r="H51" i="1"/>
  <c r="H65" i="1" s="1"/>
  <c r="U11" i="1"/>
  <c r="T55" i="1" s="1"/>
  <c r="U41" i="1"/>
  <c r="U56" i="1"/>
  <c r="T70" i="1"/>
  <c r="U70" i="1" l="1"/>
  <c r="G5" i="1"/>
  <c r="G35" i="1"/>
  <c r="H50" i="1"/>
  <c r="H64" i="1" s="1"/>
  <c r="G50" i="1"/>
  <c r="G64" i="1" s="1"/>
  <c r="U10" i="1"/>
  <c r="T54" i="1" s="1"/>
  <c r="T69" i="1"/>
  <c r="U40" i="1"/>
  <c r="U55" i="1"/>
  <c r="U69" i="1" l="1"/>
  <c r="Y37" i="1"/>
  <c r="G34" i="1"/>
  <c r="H49" i="1"/>
  <c r="G49" i="1"/>
  <c r="Y40" i="1" s="1"/>
  <c r="U9" i="1"/>
  <c r="T53" i="1" s="1"/>
  <c r="U39" i="1"/>
  <c r="T68" i="1"/>
  <c r="U54" i="1"/>
  <c r="U68" i="1" s="1"/>
  <c r="Z40" i="1" l="1"/>
  <c r="H63" i="1"/>
  <c r="Z41" i="1" s="1"/>
  <c r="Y39" i="1"/>
  <c r="G63" i="1"/>
  <c r="Y41" i="1" s="1"/>
  <c r="Z42" i="1" s="1"/>
  <c r="U8" i="1"/>
  <c r="T52" i="1" s="1"/>
  <c r="U53" i="1"/>
  <c r="U38" i="1"/>
  <c r="T67" i="1"/>
  <c r="Z43" i="1" l="1"/>
  <c r="AA42" i="1"/>
  <c r="U67" i="1"/>
  <c r="U7" i="1"/>
  <c r="T51" i="1" s="1"/>
  <c r="U37" i="1"/>
  <c r="U52" i="1"/>
  <c r="U66" i="1" s="1"/>
  <c r="T66" i="1"/>
  <c r="AB42" i="1" l="1"/>
  <c r="AA43" i="1"/>
  <c r="U6" i="1"/>
  <c r="T50" i="1" s="1"/>
  <c r="U36" i="1"/>
  <c r="U51" i="1"/>
  <c r="U65" i="1" s="1"/>
  <c r="T65" i="1"/>
  <c r="AC42" i="1" l="1"/>
  <c r="AB43" i="1"/>
  <c r="U5" i="1"/>
  <c r="AM37" i="1" s="1"/>
  <c r="U35" i="1"/>
  <c r="U50" i="1"/>
  <c r="U64" i="1" s="1"/>
  <c r="T64" i="1"/>
  <c r="AD42" i="1" l="1"/>
  <c r="AC43" i="1"/>
  <c r="U34" i="1"/>
  <c r="AM39" i="1" s="1"/>
  <c r="T49" i="1"/>
  <c r="U49" i="1"/>
  <c r="AM40" i="1" s="1"/>
  <c r="T63" i="1" l="1"/>
  <c r="AL41" i="1" s="1"/>
  <c r="AL40" i="1"/>
  <c r="AD43" i="1"/>
  <c r="AE42" i="1"/>
  <c r="U63" i="1"/>
  <c r="AM41" i="1" s="1"/>
  <c r="G68" i="1"/>
  <c r="Y11" i="1" s="1"/>
  <c r="Z12" i="1" s="1"/>
  <c r="Z13" i="1" s="1"/>
  <c r="AE43" i="1" l="1"/>
  <c r="AF42" i="1"/>
  <c r="AA12" i="1"/>
  <c r="AA13" i="1" s="1"/>
  <c r="AF43" i="1" l="1"/>
  <c r="AG42" i="1"/>
  <c r="AB12" i="1"/>
  <c r="AB13" i="1" s="1"/>
  <c r="AG43" i="1" l="1"/>
  <c r="AH42" i="1"/>
  <c r="AC12" i="1"/>
  <c r="AC13" i="1" s="1"/>
  <c r="AH43" i="1" l="1"/>
  <c r="AI42" i="1"/>
  <c r="AD12" i="1"/>
  <c r="AD13" i="1" s="1"/>
  <c r="AJ42" i="1" l="1"/>
  <c r="AI43" i="1"/>
  <c r="AE12" i="1"/>
  <c r="AE13" i="1" s="1"/>
  <c r="AK42" i="1" l="1"/>
  <c r="AJ43" i="1"/>
  <c r="AF12" i="1"/>
  <c r="AF13" i="1" s="1"/>
  <c r="AL42" i="1" l="1"/>
  <c r="AK43" i="1"/>
  <c r="AG12" i="1"/>
  <c r="AG13" i="1" s="1"/>
  <c r="AM42" i="1" l="1"/>
  <c r="AM43" i="1" s="1"/>
  <c r="AL43" i="1"/>
  <c r="AH12" i="1"/>
  <c r="AH13" i="1" s="1"/>
  <c r="AI12" i="1" l="1"/>
  <c r="AI13" i="1" s="1"/>
  <c r="AJ12" i="1" l="1"/>
  <c r="AJ13" i="1" s="1"/>
  <c r="AK12" i="1" l="1"/>
  <c r="AK13" i="1" s="1"/>
  <c r="AL12" i="1" l="1"/>
  <c r="AL13" i="1" s="1"/>
  <c r="AM12" i="1" l="1"/>
  <c r="AM13" i="1" s="1"/>
</calcChain>
</file>

<file path=xl/sharedStrings.xml><?xml version="1.0" encoding="utf-8"?>
<sst xmlns="http://schemas.openxmlformats.org/spreadsheetml/2006/main" count="35" uniqueCount="22">
  <si>
    <t>dx=dy</t>
  </si>
  <si>
    <t>V_in</t>
  </si>
  <si>
    <t>V_out</t>
  </si>
  <si>
    <t>n_iter</t>
  </si>
  <si>
    <t>N_L</t>
  </si>
  <si>
    <t>N_H</t>
  </si>
  <si>
    <t>start_Row</t>
  </si>
  <si>
    <t>start_Colume</t>
  </si>
  <si>
    <t>U</t>
  </si>
  <si>
    <t>V</t>
  </si>
  <si>
    <t>magn(vel)</t>
  </si>
  <si>
    <t>Ψ</t>
  </si>
  <si>
    <t>X</t>
  </si>
  <si>
    <t>Y</t>
  </si>
  <si>
    <t>Vel</t>
  </si>
  <si>
    <t>p</t>
  </si>
  <si>
    <t>Cp</t>
  </si>
  <si>
    <t>параметры</t>
  </si>
  <si>
    <t>dn</t>
  </si>
  <si>
    <t>p_in</t>
  </si>
  <si>
    <t>Нижняя стенка</t>
  </si>
  <si>
    <t>Верхняя стенка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</si>
</sst>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2" fontId="0" fillId="0" borderId="1" xfId="0" applyNumberFormat="1" applyBorder="1"/>
    <xf numFmtId="2" fontId="0" fillId="0" borderId="1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/>
    <xf numFmtId="2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0" fillId="2" borderId="1" xfId="0" applyNumberFormat="1" applyFill="1" applyBorder="1"/>
    <xf numFmtId="2" fontId="0" fillId="2" borderId="2" xfId="0" applyNumberFormat="1" applyFill="1" applyBorder="1"/>
    <xf numFmtId="2" fontId="0" fillId="3" borderId="1" xfId="0" applyNumberFormat="1" applyFill="1" applyBorder="1"/>
    <xf numFmtId="2" fontId="0" fillId="4" borderId="1" xfId="0" applyNumberFormat="1" applyFill="1" applyBorder="1"/>
    <xf numFmtId="2" fontId="0" fillId="6" borderId="1" xfId="0" applyNumberFormat="1" applyFill="1" applyBorder="1"/>
    <xf numFmtId="2" fontId="0" fillId="6" borderId="2" xfId="0" applyNumberFormat="1" applyFill="1" applyBorder="1"/>
    <xf numFmtId="0" fontId="0" fillId="6" borderId="1" xfId="0" applyFill="1" applyBorder="1"/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2" fontId="0" fillId="0" borderId="0" xfId="0" applyNumberFormat="1"/>
    <xf numFmtId="0" fontId="1" fillId="5" borderId="3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Fill="1" applyBorder="1"/>
    <xf numFmtId="2" fontId="0" fillId="0" borderId="1" xfId="0" applyNumberFormat="1" applyBorder="1" applyAlignment="1">
      <alignment horizontal="left"/>
    </xf>
    <xf numFmtId="0" fontId="0" fillId="0" borderId="6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975021297530826E-2"/>
          <c:y val="4.7240105869236548E-2"/>
          <c:w val="0.90729895678778816"/>
          <c:h val="0.78527224604892476"/>
        </c:manualLayout>
      </c:layout>
      <c:scatterChart>
        <c:scatterStyle val="lineMarker"/>
        <c:varyColors val="0"/>
        <c:ser>
          <c:idx val="0"/>
          <c:order val="0"/>
          <c:tx>
            <c:v>Нижняя стенка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Лист1!$G$16:$U$16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Лист1!$Y$13:$AM$13</c:f>
              <c:numCache>
                <c:formatCode>0.00</c:formatCode>
                <c:ptCount val="15"/>
                <c:pt idx="0">
                  <c:v>0</c:v>
                </c:pt>
                <c:pt idx="1">
                  <c:v>-3.5737088336318265E-2</c:v>
                </c:pt>
                <c:pt idx="2">
                  <c:v>-9.1033955078746662E-2</c:v>
                </c:pt>
                <c:pt idx="3">
                  <c:v>-0.203570951235306</c:v>
                </c:pt>
                <c:pt idx="4">
                  <c:v>-0.59334658571984622</c:v>
                </c:pt>
                <c:pt idx="5">
                  <c:v>0.30864054368052168</c:v>
                </c:pt>
                <c:pt idx="6">
                  <c:v>0.58970050947595154</c:v>
                </c:pt>
                <c:pt idx="7">
                  <c:v>0.74184411480353452</c:v>
                </c:pt>
                <c:pt idx="8">
                  <c:v>0.85363224100932711</c:v>
                </c:pt>
                <c:pt idx="9">
                  <c:v>0.95233496329106859</c:v>
                </c:pt>
                <c:pt idx="10">
                  <c:v>0.89241443212231386</c:v>
                </c:pt>
                <c:pt idx="11">
                  <c:v>0.84549089989188364</c:v>
                </c:pt>
                <c:pt idx="12">
                  <c:v>0.80891509134060469</c:v>
                </c:pt>
                <c:pt idx="13">
                  <c:v>0.77836959761742042</c:v>
                </c:pt>
                <c:pt idx="14">
                  <c:v>0.75</c:v>
                </c:pt>
              </c:numCache>
            </c:numRef>
          </c:yVal>
          <c:smooth val="0"/>
        </c:ser>
        <c:ser>
          <c:idx val="1"/>
          <c:order val="1"/>
          <c:tx>
            <c:v>Верхняя стенка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Лист1!$G$16:$U$16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Лист1!$Y$43:$AM$43</c:f>
              <c:numCache>
                <c:formatCode>0.00</c:formatCode>
                <c:ptCount val="15"/>
                <c:pt idx="0">
                  <c:v>0</c:v>
                </c:pt>
                <c:pt idx="1">
                  <c:v>2.8143798741512002E-2</c:v>
                </c:pt>
                <c:pt idx="2">
                  <c:v>6.3816200734872833E-2</c:v>
                </c:pt>
                <c:pt idx="3">
                  <c:v>0.1145877183691482</c:v>
                </c:pt>
                <c:pt idx="4">
                  <c:v>0.18568977047048973</c:v>
                </c:pt>
                <c:pt idx="5">
                  <c:v>0.27485152235953136</c:v>
                </c:pt>
                <c:pt idx="6">
                  <c:v>0.36820612818439258</c:v>
                </c:pt>
                <c:pt idx="7">
                  <c:v>0.4539892172461259</c:v>
                </c:pt>
                <c:pt idx="8">
                  <c:v>0.52678685149119697</c:v>
                </c:pt>
                <c:pt idx="9">
                  <c:v>0.58591190890496359</c:v>
                </c:pt>
                <c:pt idx="10">
                  <c:v>0.63302386079798456</c:v>
                </c:pt>
                <c:pt idx="11">
                  <c:v>0.6705863089812919</c:v>
                </c:pt>
                <c:pt idx="12">
                  <c:v>0.70112120060075545</c:v>
                </c:pt>
                <c:pt idx="13">
                  <c:v>0.7269252052370575</c:v>
                </c:pt>
                <c:pt idx="14">
                  <c:v>0.75</c:v>
                </c:pt>
              </c:numCache>
            </c:numRef>
          </c:yVal>
          <c:smooth val="0"/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536468704"/>
        <c:axId val="536466528"/>
      </c:scatterChart>
      <c:valAx>
        <c:axId val="536468704"/>
        <c:scaling>
          <c:orientation val="minMax"/>
          <c:max val="3"/>
          <c:min val="-0.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466528"/>
        <c:crosses val="autoZero"/>
        <c:crossBetween val="midCat"/>
      </c:valAx>
      <c:valAx>
        <c:axId val="536466528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46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470939941367421"/>
          <c:y val="0.85022688438821015"/>
          <c:w val="0.55058120117265152"/>
          <c:h val="0.1240057851376607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</xdr:colOff>
      <xdr:row>16</xdr:row>
      <xdr:rowOff>1119</xdr:rowOff>
    </xdr:from>
    <xdr:to>
      <xdr:col>30</xdr:col>
      <xdr:colOff>224119</xdr:colOff>
      <xdr:row>31</xdr:row>
      <xdr:rowOff>100852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0.75525</cdr:x>
      <cdr:y>0.52778</cdr:y>
    </cdr:from>
    <cdr:to>
      <cdr:x>0.92508</cdr:x>
      <cdr:y>0.6491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66615" y="1447800"/>
          <a:ext cx="914400" cy="3328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0.82273</cdr:x>
      <cdr:y>0.62404</cdr:y>
    </cdr:from>
    <cdr:to>
      <cdr:x>0.93564</cdr:x>
      <cdr:y>0.74537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724621" y="1845441"/>
          <a:ext cx="511200" cy="3587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 b="1"/>
            <a:t>X[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cdr:txBody>
    </cdr:sp>
  </cdr:relSizeAnchor>
  <cdr:relSizeAnchor xmlns:cdr="http://schemas.openxmlformats.org/drawingml/2006/chartDrawing">
    <cdr:from>
      <cdr:x>0.00527</cdr:x>
      <cdr:y>3.38154E-7</cdr:y>
    </cdr:from>
    <cdr:to>
      <cdr:x>0.10148</cdr:x>
      <cdr:y>0.11709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23868" y="1"/>
          <a:ext cx="435571" cy="34626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Cp</a:t>
          </a:r>
          <a:endParaRPr lang="ru-RU" sz="1800" b="1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O74"/>
  <sheetViews>
    <sheetView tabSelected="1" zoomScale="85" zoomScaleNormal="85" workbookViewId="0">
      <selection activeCell="D25" sqref="D25"/>
    </sheetView>
  </sheetViews>
  <sheetFormatPr defaultRowHeight="15" x14ac:dyDescent="0.25"/>
  <cols>
    <col min="7" max="7" width="10.5703125" bestFit="1" customWidth="1"/>
    <col min="8" max="21" width="9.5703125" bestFit="1" customWidth="1"/>
    <col min="29" max="39" width="9.5703125" bestFit="1" customWidth="1"/>
  </cols>
  <sheetData>
    <row r="2" spans="2:41" x14ac:dyDescent="0.25">
      <c r="B2" s="1" t="s">
        <v>0</v>
      </c>
      <c r="C2" s="1">
        <v>0.2</v>
      </c>
    </row>
    <row r="4" spans="2:41" x14ac:dyDescent="0.25">
      <c r="B4" s="1" t="s">
        <v>1</v>
      </c>
      <c r="C4" s="1">
        <v>10</v>
      </c>
      <c r="F4" s="1"/>
      <c r="G4" s="16">
        <v>1</v>
      </c>
      <c r="H4" s="16">
        <v>2</v>
      </c>
      <c r="I4" s="16">
        <v>3</v>
      </c>
      <c r="J4" s="16">
        <v>4</v>
      </c>
      <c r="K4" s="16">
        <v>5</v>
      </c>
      <c r="L4" s="16">
        <v>6</v>
      </c>
      <c r="M4" s="16">
        <v>7</v>
      </c>
      <c r="N4" s="16">
        <v>8</v>
      </c>
      <c r="O4" s="16">
        <v>9</v>
      </c>
      <c r="P4" s="16">
        <v>10</v>
      </c>
      <c r="Q4" s="16">
        <v>11</v>
      </c>
      <c r="R4" s="16">
        <v>12</v>
      </c>
      <c r="S4" s="16">
        <v>13</v>
      </c>
      <c r="T4" s="16">
        <v>14</v>
      </c>
      <c r="U4" s="16">
        <v>15</v>
      </c>
      <c r="V4" s="1"/>
      <c r="X4" s="27" t="s">
        <v>20</v>
      </c>
      <c r="Y4" s="27"/>
    </row>
    <row r="5" spans="2:41" x14ac:dyDescent="0.25">
      <c r="B5" s="1" t="s">
        <v>19</v>
      </c>
      <c r="C5" s="1">
        <v>101325</v>
      </c>
      <c r="E5" s="18" t="s">
        <v>11</v>
      </c>
      <c r="F5" s="13">
        <v>2</v>
      </c>
      <c r="G5" s="3">
        <f t="shared" ref="G5:G8" si="0">G6+$C$2*$C$4</f>
        <v>10</v>
      </c>
      <c r="H5" s="3">
        <v>10</v>
      </c>
      <c r="I5" s="3">
        <v>10</v>
      </c>
      <c r="J5" s="3">
        <v>10</v>
      </c>
      <c r="K5" s="3">
        <v>10</v>
      </c>
      <c r="L5" s="3">
        <v>10</v>
      </c>
      <c r="M5" s="3">
        <v>10</v>
      </c>
      <c r="N5" s="3">
        <v>10</v>
      </c>
      <c r="O5" s="3">
        <v>10</v>
      </c>
      <c r="P5" s="3">
        <v>10</v>
      </c>
      <c r="Q5" s="3">
        <v>10</v>
      </c>
      <c r="R5" s="3">
        <v>10</v>
      </c>
      <c r="S5" s="3">
        <v>10</v>
      </c>
      <c r="T5" s="3">
        <v>10</v>
      </c>
      <c r="U5" s="3">
        <f t="shared" ref="U5:U13" si="1">U6+$C$6*$C$2</f>
        <v>10</v>
      </c>
      <c r="V5" s="16">
        <v>11</v>
      </c>
      <c r="X5" s="1" t="s">
        <v>17</v>
      </c>
      <c r="Y5" s="1">
        <v>1</v>
      </c>
      <c r="Z5" s="1">
        <v>2</v>
      </c>
      <c r="AA5" s="1">
        <v>3</v>
      </c>
      <c r="AB5" s="1">
        <v>4</v>
      </c>
      <c r="AC5" s="1">
        <v>5</v>
      </c>
      <c r="AD5" s="1">
        <v>6</v>
      </c>
      <c r="AE5" s="1">
        <v>7</v>
      </c>
      <c r="AF5" s="1">
        <v>8</v>
      </c>
      <c r="AG5" s="1">
        <v>9</v>
      </c>
      <c r="AH5" s="1">
        <v>10</v>
      </c>
      <c r="AI5" s="1">
        <v>11</v>
      </c>
      <c r="AJ5" s="1">
        <v>12</v>
      </c>
      <c r="AK5" s="1">
        <v>13</v>
      </c>
      <c r="AL5" s="1">
        <v>14</v>
      </c>
      <c r="AM5" s="1">
        <v>15</v>
      </c>
      <c r="AN5" s="5"/>
      <c r="AO5" s="5"/>
    </row>
    <row r="6" spans="2:41" x14ac:dyDescent="0.25">
      <c r="B6" s="1" t="s">
        <v>2</v>
      </c>
      <c r="C6" s="1">
        <f>C4*(F5-F10)/(F5-F15)</f>
        <v>5</v>
      </c>
      <c r="F6" s="13">
        <v>1.8</v>
      </c>
      <c r="G6" s="3">
        <f t="shared" si="0"/>
        <v>8</v>
      </c>
      <c r="H6" s="26">
        <f>0.25*(H19+G20+H21+I20)</f>
        <v>8.028344653588281</v>
      </c>
      <c r="I6" s="26">
        <f t="shared" ref="I6:T6" si="2">0.25*(I19+H20+I21+J20)</f>
        <v>8.0648681706249032</v>
      </c>
      <c r="J6" s="26">
        <f t="shared" si="2"/>
        <v>8.1180730283768057</v>
      </c>
      <c r="K6" s="26">
        <f t="shared" si="2"/>
        <v>8.1952172102666321</v>
      </c>
      <c r="L6" s="26">
        <f t="shared" si="2"/>
        <v>8.2968869941893519</v>
      </c>
      <c r="M6" s="26">
        <f t="shared" si="2"/>
        <v>8.4102907538602594</v>
      </c>
      <c r="N6" s="26">
        <f t="shared" si="2"/>
        <v>8.522149151295805</v>
      </c>
      <c r="O6" s="26">
        <f t="shared" si="2"/>
        <v>8.6241902042670464</v>
      </c>
      <c r="P6" s="26">
        <f t="shared" si="2"/>
        <v>8.7130064629609123</v>
      </c>
      <c r="Q6" s="26">
        <f t="shared" si="2"/>
        <v>8.7884288890834696</v>
      </c>
      <c r="R6" s="26">
        <f t="shared" si="2"/>
        <v>8.8521085573649678</v>
      </c>
      <c r="S6" s="26">
        <f t="shared" si="2"/>
        <v>8.9066038240431382</v>
      </c>
      <c r="T6" s="26">
        <f t="shared" si="2"/>
        <v>8.9548688220839487</v>
      </c>
      <c r="U6" s="3">
        <f t="shared" si="1"/>
        <v>9</v>
      </c>
      <c r="V6" s="16">
        <v>10</v>
      </c>
      <c r="X6" s="18" t="s">
        <v>11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</row>
    <row r="7" spans="2:41" x14ac:dyDescent="0.25">
      <c r="F7" s="13">
        <v>1.6</v>
      </c>
      <c r="G7" s="3">
        <f t="shared" si="0"/>
        <v>6</v>
      </c>
      <c r="H7" s="26">
        <f t="shared" ref="H7:T10" si="3">0.25*(H20+G21+H22+I21)</f>
        <v>6.0485104437333206</v>
      </c>
      <c r="I7" s="26">
        <f t="shared" si="3"/>
        <v>6.1130550005457938</v>
      </c>
      <c r="J7" s="26">
        <f t="shared" si="3"/>
        <v>6.2122067326335726</v>
      </c>
      <c r="K7" s="26">
        <f t="shared" si="3"/>
        <v>6.3659088185279691</v>
      </c>
      <c r="L7" s="26">
        <f t="shared" si="3"/>
        <v>6.5820400126673846</v>
      </c>
      <c r="M7" s="26">
        <f t="shared" si="3"/>
        <v>6.8221268700052722</v>
      </c>
      <c r="N7" s="26">
        <f t="shared" si="3"/>
        <v>7.054115647113079</v>
      </c>
      <c r="O7" s="26">
        <f t="shared" si="3"/>
        <v>7.2616052028775684</v>
      </c>
      <c r="P7" s="26">
        <f t="shared" si="3"/>
        <v>7.4394067585588859</v>
      </c>
      <c r="Q7" s="26">
        <f t="shared" si="3"/>
        <v>7.5886005360726116</v>
      </c>
      <c r="R7" s="26">
        <f t="shared" si="3"/>
        <v>7.7134015163863507</v>
      </c>
      <c r="S7" s="26">
        <f t="shared" si="3"/>
        <v>7.8194379167637749</v>
      </c>
      <c r="T7" s="26">
        <f t="shared" si="3"/>
        <v>7.9128714643130564</v>
      </c>
      <c r="U7" s="3">
        <f t="shared" si="1"/>
        <v>8</v>
      </c>
      <c r="V7" s="16">
        <v>9</v>
      </c>
      <c r="X7" s="2" t="s">
        <v>12</v>
      </c>
      <c r="Y7" s="3">
        <f>G10</f>
        <v>0</v>
      </c>
      <c r="Z7" s="3">
        <f>H10</f>
        <v>0</v>
      </c>
      <c r="AA7" s="3">
        <f>I10</f>
        <v>0</v>
      </c>
      <c r="AB7" s="3">
        <f>J10</f>
        <v>0</v>
      </c>
      <c r="AC7" s="3">
        <f>K10</f>
        <v>0</v>
      </c>
      <c r="AD7" s="3">
        <f>L11</f>
        <v>0</v>
      </c>
      <c r="AE7" s="3">
        <f>M12</f>
        <v>0</v>
      </c>
      <c r="AF7" s="3">
        <f>N13</f>
        <v>0</v>
      </c>
      <c r="AG7" s="3">
        <f>O14</f>
        <v>0</v>
      </c>
      <c r="AH7" s="3">
        <f t="shared" ref="AH7:AM7" si="4">P15</f>
        <v>0</v>
      </c>
      <c r="AI7" s="3">
        <f t="shared" si="4"/>
        <v>0</v>
      </c>
      <c r="AJ7" s="3">
        <f t="shared" si="4"/>
        <v>0</v>
      </c>
      <c r="AK7" s="3">
        <f t="shared" si="4"/>
        <v>0</v>
      </c>
      <c r="AL7" s="3">
        <f t="shared" si="4"/>
        <v>0</v>
      </c>
      <c r="AM7" s="3">
        <f t="shared" si="4"/>
        <v>0</v>
      </c>
    </row>
    <row r="8" spans="2:41" x14ac:dyDescent="0.25">
      <c r="F8" s="13">
        <v>1.4</v>
      </c>
      <c r="G8" s="3">
        <f t="shared" si="0"/>
        <v>4</v>
      </c>
      <c r="H8" s="26">
        <f t="shared" si="3"/>
        <v>4.0526421208079437</v>
      </c>
      <c r="I8" s="26">
        <f t="shared" si="3"/>
        <v>4.1266346552094371</v>
      </c>
      <c r="J8" s="26">
        <f t="shared" si="3"/>
        <v>4.2517900831150106</v>
      </c>
      <c r="K8" s="26">
        <f t="shared" si="3"/>
        <v>4.4741713185900736</v>
      </c>
      <c r="L8" s="26">
        <f t="shared" si="3"/>
        <v>4.843237368014532</v>
      </c>
      <c r="M8" s="26">
        <f t="shared" si="3"/>
        <v>5.2420610664663156</v>
      </c>
      <c r="N8" s="26">
        <f t="shared" si="3"/>
        <v>5.6105813643823277</v>
      </c>
      <c r="O8" s="26">
        <f t="shared" si="3"/>
        <v>5.928708201689207</v>
      </c>
      <c r="P8" s="26">
        <f t="shared" si="3"/>
        <v>6.1944148324515638</v>
      </c>
      <c r="Q8" s="26">
        <f t="shared" si="3"/>
        <v>6.4131649803783395</v>
      </c>
      <c r="R8" s="26">
        <f t="shared" si="3"/>
        <v>6.5934590554474397</v>
      </c>
      <c r="S8" s="26">
        <f t="shared" si="3"/>
        <v>6.7448748623853572</v>
      </c>
      <c r="T8" s="26">
        <f t="shared" si="3"/>
        <v>6.8771791184443529</v>
      </c>
      <c r="U8" s="3">
        <f t="shared" si="1"/>
        <v>7</v>
      </c>
      <c r="V8" s="16">
        <v>8</v>
      </c>
      <c r="X8" s="2" t="s">
        <v>13</v>
      </c>
      <c r="Y8" s="3">
        <f>F10</f>
        <v>1</v>
      </c>
      <c r="Z8" s="3">
        <f>F10</f>
        <v>1</v>
      </c>
      <c r="AA8" s="3">
        <f>F10</f>
        <v>1</v>
      </c>
      <c r="AB8" s="3">
        <f>F10</f>
        <v>1</v>
      </c>
      <c r="AC8" s="3">
        <f>F10</f>
        <v>1</v>
      </c>
      <c r="AD8" s="3">
        <f>F11</f>
        <v>0.8</v>
      </c>
      <c r="AE8" s="3">
        <f>F12</f>
        <v>0.6</v>
      </c>
      <c r="AF8" s="3">
        <f>F13</f>
        <v>0.4</v>
      </c>
      <c r="AG8" s="3">
        <f>F14</f>
        <v>0.2</v>
      </c>
      <c r="AH8" s="3">
        <f>$F$15</f>
        <v>0</v>
      </c>
      <c r="AI8" s="3">
        <f t="shared" ref="AI8:AM8" si="5">$F$15</f>
        <v>0</v>
      </c>
      <c r="AJ8" s="3">
        <f t="shared" si="5"/>
        <v>0</v>
      </c>
      <c r="AK8" s="3">
        <f t="shared" si="5"/>
        <v>0</v>
      </c>
      <c r="AL8" s="3">
        <f t="shared" si="5"/>
        <v>0</v>
      </c>
      <c r="AM8" s="3">
        <f t="shared" si="5"/>
        <v>0</v>
      </c>
    </row>
    <row r="9" spans="2:41" x14ac:dyDescent="0.25">
      <c r="B9" s="1" t="s">
        <v>3</v>
      </c>
      <c r="C9" s="1">
        <v>300</v>
      </c>
      <c r="D9">
        <v>301</v>
      </c>
      <c r="F9" s="13">
        <v>1.2</v>
      </c>
      <c r="G9" s="3">
        <f>G10+$C$2*$C$4</f>
        <v>2</v>
      </c>
      <c r="H9" s="26">
        <f t="shared" si="3"/>
        <v>2.0354233842976881</v>
      </c>
      <c r="I9" s="26">
        <f t="shared" si="3"/>
        <v>2.0890514163885356</v>
      </c>
      <c r="J9" s="26">
        <f t="shared" si="3"/>
        <v>2.1941476260592156</v>
      </c>
      <c r="K9" s="26">
        <f t="shared" si="3"/>
        <v>2.4357490047558827</v>
      </c>
      <c r="L9" s="26">
        <f t="shared" si="3"/>
        <v>3.0746770744120169</v>
      </c>
      <c r="M9" s="26">
        <f t="shared" si="3"/>
        <v>3.6922986635745167</v>
      </c>
      <c r="N9" s="26">
        <f t="shared" si="3"/>
        <v>4.2174405423955861</v>
      </c>
      <c r="O9" s="26">
        <f t="shared" si="3"/>
        <v>4.6482314072059898</v>
      </c>
      <c r="P9" s="26">
        <f t="shared" si="3"/>
        <v>4.9963793893427058</v>
      </c>
      <c r="Q9" s="26">
        <f t="shared" si="3"/>
        <v>5.2761854977038416</v>
      </c>
      <c r="R9" s="26">
        <f t="shared" si="3"/>
        <v>5.5023948627739898</v>
      </c>
      <c r="S9" s="26">
        <f t="shared" si="3"/>
        <v>5.6894233589879253</v>
      </c>
      <c r="T9" s="26">
        <f t="shared" si="3"/>
        <v>5.8509701471310125</v>
      </c>
      <c r="U9" s="3">
        <f t="shared" si="1"/>
        <v>6</v>
      </c>
      <c r="V9" s="16">
        <v>7</v>
      </c>
      <c r="X9" s="2" t="s">
        <v>8</v>
      </c>
      <c r="Y9" s="3">
        <f>G39</f>
        <v>10</v>
      </c>
      <c r="Z9" s="3">
        <f t="shared" ref="Z9:AC9" si="6">H39</f>
        <v>10.177116921488439</v>
      </c>
      <c r="AA9" s="3">
        <f t="shared" si="6"/>
        <v>10.445257081942678</v>
      </c>
      <c r="AB9" s="3">
        <f t="shared" si="6"/>
        <v>10.970738130296077</v>
      </c>
      <c r="AC9" s="3">
        <f t="shared" si="6"/>
        <v>12.178745023779413</v>
      </c>
      <c r="AD9" s="3">
        <f>L40</f>
        <v>6.6371163068779619</v>
      </c>
      <c r="AE9" s="3">
        <f>M41</f>
        <v>5.008456125487144</v>
      </c>
      <c r="AF9" s="3">
        <f>N42</f>
        <v>3.9931586859867663</v>
      </c>
      <c r="AG9" s="3">
        <f>O43</f>
        <v>3.1416989397723181</v>
      </c>
      <c r="AH9" s="3">
        <f>P44</f>
        <v>2.1832323904951014</v>
      </c>
      <c r="AI9" s="3">
        <f t="shared" ref="AI9:AM9" si="7">Q44</f>
        <v>3.2800239004878264</v>
      </c>
      <c r="AJ9" s="3">
        <f t="shared" si="7"/>
        <v>3.9307645580505111</v>
      </c>
      <c r="AK9" s="3">
        <f t="shared" si="7"/>
        <v>4.3713259848645265</v>
      </c>
      <c r="AL9" s="3">
        <f t="shared" si="7"/>
        <v>4.7077638256670706</v>
      </c>
      <c r="AM9" s="3">
        <f t="shared" si="7"/>
        <v>5</v>
      </c>
    </row>
    <row r="10" spans="2:41" x14ac:dyDescent="0.25">
      <c r="B10" s="25" t="s">
        <v>18</v>
      </c>
      <c r="C10" s="1">
        <v>1</v>
      </c>
      <c r="F10" s="13">
        <v>1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26">
        <f t="shared" si="3"/>
        <v>1.3274232613755925</v>
      </c>
      <c r="M10" s="26">
        <f t="shared" ref="M10" si="8">0.25*(M23+L24+M25+N24)</f>
        <v>2.2350159711315474</v>
      </c>
      <c r="N10" s="26">
        <f t="shared" ref="N10" si="9">0.25*(N23+M24+N25+O24)</f>
        <v>2.9186507345677226</v>
      </c>
      <c r="O10" s="26">
        <f t="shared" ref="O10" si="10">0.25*(O23+N24+O25+P24)</f>
        <v>3.4503974955660426</v>
      </c>
      <c r="P10" s="26">
        <f t="shared" ref="P10:T10" si="11">0.25*(P23+O24+P25+Q24)</f>
        <v>3.8666858201982977</v>
      </c>
      <c r="Q10" s="26">
        <f t="shared" si="11"/>
        <v>4.192802758497244</v>
      </c>
      <c r="R10" s="26">
        <f t="shared" si="11"/>
        <v>4.4505115391157153</v>
      </c>
      <c r="S10" s="26">
        <f t="shared" si="11"/>
        <v>4.659453563774175</v>
      </c>
      <c r="T10" s="26">
        <f t="shared" si="11"/>
        <v>4.8372781111538048</v>
      </c>
      <c r="U10" s="3">
        <f t="shared" si="1"/>
        <v>5</v>
      </c>
      <c r="V10" s="16">
        <v>6</v>
      </c>
      <c r="X10" s="2" t="s">
        <v>9</v>
      </c>
      <c r="Y10" s="3">
        <f>$G$54</f>
        <v>0</v>
      </c>
      <c r="Z10" s="3">
        <f>H54</f>
        <v>0</v>
      </c>
      <c r="AA10" s="3">
        <f>$I$54</f>
        <v>0</v>
      </c>
      <c r="AB10" s="3">
        <f>J54</f>
        <v>0</v>
      </c>
      <c r="AC10" s="3">
        <f>K54</f>
        <v>-3.318558153438981</v>
      </c>
      <c r="AD10" s="19">
        <f>L55</f>
        <v>-5.008456125487144</v>
      </c>
      <c r="AE10" s="3">
        <f>M56</f>
        <v>-3.9931586859867663</v>
      </c>
      <c r="AF10" s="3">
        <f>N57</f>
        <v>-3.1416989397723181</v>
      </c>
      <c r="AG10" s="3">
        <f>O58</f>
        <v>-2.1832323904951014</v>
      </c>
      <c r="AH10" s="3">
        <f>P59</f>
        <v>0</v>
      </c>
      <c r="AI10" s="3">
        <f>Q59</f>
        <v>0</v>
      </c>
      <c r="AJ10" s="3">
        <f>R59</f>
        <v>0</v>
      </c>
      <c r="AK10" s="3">
        <f>S59</f>
        <v>0</v>
      </c>
      <c r="AL10" s="3">
        <f>T59</f>
        <v>0</v>
      </c>
      <c r="AM10" s="3">
        <f>U59</f>
        <v>0</v>
      </c>
    </row>
    <row r="11" spans="2:41" x14ac:dyDescent="0.25">
      <c r="F11" s="13">
        <v>0.8</v>
      </c>
      <c r="G11" s="3"/>
      <c r="H11" s="3"/>
      <c r="I11" s="3"/>
      <c r="J11" s="3"/>
      <c r="K11" s="3"/>
      <c r="L11" s="4">
        <v>0</v>
      </c>
      <c r="M11" s="26">
        <f t="shared" ref="M11" si="12">0.25*(M24+L25+M26+N25)</f>
        <v>1.0016912250974288</v>
      </c>
      <c r="N11" s="26">
        <f t="shared" ref="N11" si="13">0.25*(N24+M25+N26+O25)</f>
        <v>1.7717489293059296</v>
      </c>
      <c r="O11" s="26">
        <f t="shared" ref="O11" si="14">0.25*(O24+N25+O26+P25)</f>
        <v>2.3680220204594216</v>
      </c>
      <c r="P11" s="26">
        <f t="shared" ref="P11:T11" si="15">0.25*(P24+O25+P26+Q25)</f>
        <v>2.8271636375660441</v>
      </c>
      <c r="Q11" s="26">
        <f t="shared" si="15"/>
        <v>3.1778281771548924</v>
      </c>
      <c r="R11" s="26">
        <f t="shared" si="15"/>
        <v>3.447394971572689</v>
      </c>
      <c r="S11" s="26">
        <f t="shared" si="15"/>
        <v>3.6606012459586212</v>
      </c>
      <c r="T11" s="26">
        <f t="shared" si="15"/>
        <v>3.838688733771237</v>
      </c>
      <c r="U11" s="3">
        <f t="shared" si="1"/>
        <v>4</v>
      </c>
      <c r="V11" s="16">
        <v>5</v>
      </c>
      <c r="X11" s="2" t="s">
        <v>14</v>
      </c>
      <c r="Y11" s="3">
        <f>$G$68</f>
        <v>10</v>
      </c>
      <c r="Z11" s="3">
        <f>$H$68</f>
        <v>10.177116921488439</v>
      </c>
      <c r="AA11" s="3">
        <f>I68</f>
        <v>10.445257081942678</v>
      </c>
      <c r="AB11" s="3">
        <f>$J$68</f>
        <v>10.970738130296077</v>
      </c>
      <c r="AC11" s="3">
        <f>$K$68</f>
        <v>12.622783313199516</v>
      </c>
      <c r="AD11" s="3">
        <f>L69</f>
        <v>8.3148028017479199</v>
      </c>
      <c r="AE11" s="19">
        <f>M70</f>
        <v>6.4054624386066967</v>
      </c>
      <c r="AF11" s="3">
        <f>N71</f>
        <v>5.080904301365857</v>
      </c>
      <c r="AG11" s="3">
        <f>O72</f>
        <v>3.8258039546052882</v>
      </c>
      <c r="AH11" s="3">
        <f>P73</f>
        <v>2.1832323904951014</v>
      </c>
      <c r="AI11" s="3">
        <f>Q73</f>
        <v>3.2800239004878264</v>
      </c>
      <c r="AJ11" s="3">
        <f>R73</f>
        <v>3.9307645580505111</v>
      </c>
      <c r="AK11" s="3">
        <f>S73</f>
        <v>4.3713259848645265</v>
      </c>
      <c r="AL11" s="3">
        <f>T73</f>
        <v>4.7077638256670706</v>
      </c>
      <c r="AM11" s="3">
        <f>U73</f>
        <v>5</v>
      </c>
    </row>
    <row r="12" spans="2:41" x14ac:dyDescent="0.25">
      <c r="B12" s="1" t="s">
        <v>4</v>
      </c>
      <c r="C12" s="2">
        <v>15</v>
      </c>
      <c r="F12" s="13">
        <v>0.6</v>
      </c>
      <c r="G12" s="3"/>
      <c r="H12" s="3"/>
      <c r="I12" s="3"/>
      <c r="J12" s="3"/>
      <c r="K12" s="3"/>
      <c r="L12" s="3"/>
      <c r="M12" s="3">
        <v>0</v>
      </c>
      <c r="N12" s="26">
        <f t="shared" ref="N12" si="16">0.25*(N25+M26+N27+O26)</f>
        <v>0.79863173719735325</v>
      </c>
      <c r="O12" s="26">
        <f t="shared" ref="O12" si="17">0.25*(O25+N26+O27+P26)</f>
        <v>1.4227780195325233</v>
      </c>
      <c r="P12" s="26">
        <f t="shared" ref="P12:T12" si="18">0.25*(P25+O26+P27+Q26)</f>
        <v>1.8961185326129362</v>
      </c>
      <c r="Q12" s="26">
        <f t="shared" si="18"/>
        <v>2.2439513411422629</v>
      </c>
      <c r="R12" s="26">
        <f t="shared" si="18"/>
        <v>2.5006389242081144</v>
      </c>
      <c r="S12" s="26">
        <f t="shared" si="18"/>
        <v>2.6968677148220905</v>
      </c>
      <c r="T12" s="26">
        <f t="shared" si="18"/>
        <v>2.8568755780311124</v>
      </c>
      <c r="U12" s="3">
        <f t="shared" si="1"/>
        <v>3</v>
      </c>
      <c r="V12" s="16">
        <v>4</v>
      </c>
      <c r="X12" s="2" t="s">
        <v>15</v>
      </c>
      <c r="Y12" s="1">
        <f>C5</f>
        <v>101325</v>
      </c>
      <c r="Z12" s="1">
        <f>(Y12+(Y11^2/2))-(Z11^2/2)</f>
        <v>101323.21314558318</v>
      </c>
      <c r="AA12" s="1">
        <f t="shared" ref="AA12:AM12" si="19">(Z12+(Z11^2/2))-(AA11^2/2)</f>
        <v>101320.44830224606</v>
      </c>
      <c r="AB12" s="1">
        <f t="shared" si="19"/>
        <v>101314.82145243823</v>
      </c>
      <c r="AC12" s="1">
        <f t="shared" si="19"/>
        <v>101295.33267071401</v>
      </c>
      <c r="AD12" s="1">
        <f t="shared" si="19"/>
        <v>101340.43202718403</v>
      </c>
      <c r="AE12" s="1">
        <f t="shared" si="19"/>
        <v>101354.4850254738</v>
      </c>
      <c r="AF12" s="1">
        <f t="shared" si="19"/>
        <v>101362.09220574018</v>
      </c>
      <c r="AG12" s="1">
        <f t="shared" si="19"/>
        <v>101367.68161205047</v>
      </c>
      <c r="AH12" s="1">
        <f t="shared" si="19"/>
        <v>101372.61674816455</v>
      </c>
      <c r="AI12" s="1">
        <f t="shared" si="19"/>
        <v>101369.62072160612</v>
      </c>
      <c r="AJ12" s="1">
        <f t="shared" si="19"/>
        <v>101367.27454499459</v>
      </c>
      <c r="AK12" s="1">
        <f t="shared" si="19"/>
        <v>101365.44575456703</v>
      </c>
      <c r="AL12" s="1">
        <f t="shared" si="19"/>
        <v>101363.91847988087</v>
      </c>
      <c r="AM12" s="1">
        <f t="shared" si="19"/>
        <v>101362.5</v>
      </c>
    </row>
    <row r="13" spans="2:41" x14ac:dyDescent="0.25">
      <c r="B13" s="1" t="s">
        <v>5</v>
      </c>
      <c r="C13" s="2">
        <v>11</v>
      </c>
      <c r="F13" s="13">
        <v>0.4</v>
      </c>
      <c r="G13" s="3"/>
      <c r="H13" s="3"/>
      <c r="I13" s="3"/>
      <c r="J13" s="3"/>
      <c r="K13" s="3"/>
      <c r="L13" s="3"/>
      <c r="M13" s="3"/>
      <c r="N13" s="3">
        <v>0</v>
      </c>
      <c r="O13" s="26">
        <f t="shared" ref="O13" si="20">0.25*(O26+N27+O28+P27)</f>
        <v>0.62833978795446366</v>
      </c>
      <c r="P13" s="26">
        <f t="shared" ref="P13:T13" si="21">0.25*(P26+O27+P28+Q27)</f>
        <v>1.0905811323285952</v>
      </c>
      <c r="Q13" s="26">
        <f t="shared" si="21"/>
        <v>1.4012197307235201</v>
      </c>
      <c r="R13" s="26">
        <f t="shared" si="21"/>
        <v>1.6143416694099795</v>
      </c>
      <c r="S13" s="26">
        <f t="shared" si="21"/>
        <v>1.769355111180452</v>
      </c>
      <c r="T13" s="26">
        <f t="shared" si="21"/>
        <v>1.8919458635777089</v>
      </c>
      <c r="U13" s="3">
        <f t="shared" si="1"/>
        <v>2</v>
      </c>
      <c r="V13" s="16">
        <v>3</v>
      </c>
      <c r="X13" s="2" t="s">
        <v>16</v>
      </c>
      <c r="Y13" s="3">
        <f>(Y12-$C$5)/($C$4^2/2)</f>
        <v>0</v>
      </c>
      <c r="Z13" s="3">
        <f t="shared" ref="Z13:AM13" si="22">(Z12-$C$5)/($C$4^2/2)</f>
        <v>-3.5737088336318265E-2</v>
      </c>
      <c r="AA13" s="3">
        <f t="shared" si="22"/>
        <v>-9.1033955078746662E-2</v>
      </c>
      <c r="AB13" s="3">
        <f t="shared" si="22"/>
        <v>-0.203570951235306</v>
      </c>
      <c r="AC13" s="3">
        <f t="shared" si="22"/>
        <v>-0.59334658571984622</v>
      </c>
      <c r="AD13" s="3">
        <f t="shared" si="22"/>
        <v>0.30864054368052168</v>
      </c>
      <c r="AE13" s="3">
        <f t="shared" si="22"/>
        <v>0.58970050947595154</v>
      </c>
      <c r="AF13" s="3">
        <f t="shared" si="22"/>
        <v>0.74184411480353452</v>
      </c>
      <c r="AG13" s="3">
        <f t="shared" si="22"/>
        <v>0.85363224100932711</v>
      </c>
      <c r="AH13" s="3">
        <f t="shared" si="22"/>
        <v>0.95233496329106859</v>
      </c>
      <c r="AI13" s="3">
        <f t="shared" si="22"/>
        <v>0.89241443212231386</v>
      </c>
      <c r="AJ13" s="3">
        <f t="shared" si="22"/>
        <v>0.84549089989188364</v>
      </c>
      <c r="AK13" s="3">
        <f t="shared" si="22"/>
        <v>0.80891509134060469</v>
      </c>
      <c r="AL13" s="3">
        <f t="shared" si="22"/>
        <v>0.77836959761742042</v>
      </c>
      <c r="AM13" s="3">
        <f t="shared" si="22"/>
        <v>0.75</v>
      </c>
    </row>
    <row r="14" spans="2:41" x14ac:dyDescent="0.25">
      <c r="B14" s="1" t="s">
        <v>6</v>
      </c>
      <c r="C14" s="2">
        <v>15</v>
      </c>
      <c r="F14" s="13">
        <v>0.2</v>
      </c>
      <c r="G14" s="3"/>
      <c r="H14" s="3"/>
      <c r="I14" s="3"/>
      <c r="J14" s="3"/>
      <c r="K14" s="3"/>
      <c r="L14" s="3"/>
      <c r="M14" s="3"/>
      <c r="N14" s="3"/>
      <c r="O14" s="3">
        <v>0</v>
      </c>
      <c r="P14" s="26">
        <f t="shared" ref="P14:S14" si="23">0.25*(P27+O28+P29+Q28)</f>
        <v>0.43664647809902035</v>
      </c>
      <c r="Q14" s="26">
        <f t="shared" si="23"/>
        <v>0.65600478009756535</v>
      </c>
      <c r="R14" s="26">
        <f t="shared" si="23"/>
        <v>0.78615291161010226</v>
      </c>
      <c r="S14" s="26">
        <f t="shared" si="23"/>
        <v>0.87426519697290539</v>
      </c>
      <c r="T14" s="26">
        <f>0.25*(T27+S28+T29+U28)</f>
        <v>0.94155276513341413</v>
      </c>
      <c r="U14" s="3">
        <f>U15+$C$6*$C$2</f>
        <v>1</v>
      </c>
      <c r="V14" s="16">
        <v>2</v>
      </c>
    </row>
    <row r="15" spans="2:41" x14ac:dyDescent="0.25">
      <c r="B15" s="1" t="s">
        <v>7</v>
      </c>
      <c r="C15" s="2">
        <v>6</v>
      </c>
      <c r="F15" s="13">
        <v>0</v>
      </c>
      <c r="G15" s="3"/>
      <c r="H15" s="3"/>
      <c r="I15" s="3"/>
      <c r="J15" s="3"/>
      <c r="K15" s="3"/>
      <c r="L15" s="3"/>
      <c r="M15" s="3"/>
      <c r="N15" s="3"/>
      <c r="O15" s="3"/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16">
        <v>1</v>
      </c>
    </row>
    <row r="16" spans="2:41" x14ac:dyDescent="0.25">
      <c r="B16" s="17" t="s">
        <v>11</v>
      </c>
      <c r="C16" s="2">
        <v>0</v>
      </c>
      <c r="F16" s="1"/>
      <c r="G16" s="14">
        <v>0</v>
      </c>
      <c r="H16" s="14">
        <v>0.2</v>
      </c>
      <c r="I16" s="14">
        <v>0.4</v>
      </c>
      <c r="J16" s="14">
        <v>0.6</v>
      </c>
      <c r="K16" s="14">
        <v>0.8</v>
      </c>
      <c r="L16" s="14">
        <v>1</v>
      </c>
      <c r="M16" s="14">
        <v>1.2</v>
      </c>
      <c r="N16" s="14">
        <v>1.4</v>
      </c>
      <c r="O16" s="14">
        <v>1.6</v>
      </c>
      <c r="P16" s="14">
        <v>1.8</v>
      </c>
      <c r="Q16" s="14">
        <v>2</v>
      </c>
      <c r="R16" s="14">
        <v>2.2000000000000002</v>
      </c>
      <c r="S16" s="14">
        <v>2.4</v>
      </c>
      <c r="T16" s="14">
        <v>2.6</v>
      </c>
      <c r="U16" s="14">
        <v>2.8</v>
      </c>
      <c r="V16" s="1"/>
    </row>
    <row r="18" spans="6:22" x14ac:dyDescent="0.25">
      <c r="F18" s="5"/>
      <c r="G18" s="6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6"/>
      <c r="V18" s="5"/>
    </row>
    <row r="19" spans="6:22" x14ac:dyDescent="0.25">
      <c r="F19" s="13">
        <v>2</v>
      </c>
      <c r="G19" s="10">
        <v>10</v>
      </c>
      <c r="H19" s="10">
        <v>10</v>
      </c>
      <c r="I19" s="10">
        <v>10</v>
      </c>
      <c r="J19" s="10">
        <v>10</v>
      </c>
      <c r="K19" s="10">
        <v>10</v>
      </c>
      <c r="L19" s="10">
        <v>10</v>
      </c>
      <c r="M19" s="10">
        <v>10</v>
      </c>
      <c r="N19" s="10">
        <v>10</v>
      </c>
      <c r="O19" s="10">
        <v>10</v>
      </c>
      <c r="P19" s="10">
        <v>10</v>
      </c>
      <c r="Q19" s="10">
        <v>10</v>
      </c>
      <c r="R19" s="10">
        <v>10</v>
      </c>
      <c r="S19" s="10">
        <v>10</v>
      </c>
      <c r="T19" s="10">
        <v>10</v>
      </c>
      <c r="U19" s="11">
        <v>10</v>
      </c>
      <c r="V19" s="5"/>
    </row>
    <row r="20" spans="6:22" x14ac:dyDescent="0.25">
      <c r="F20" s="13">
        <v>1.8</v>
      </c>
      <c r="G20" s="10">
        <v>8</v>
      </c>
      <c r="H20" s="3">
        <v>8.0283446535868812</v>
      </c>
      <c r="I20" s="3">
        <v>8.0648681706220309</v>
      </c>
      <c r="J20" s="3">
        <v>8.1180730283718958</v>
      </c>
      <c r="K20" s="3">
        <v>8.1952172102595959</v>
      </c>
      <c r="L20" s="3">
        <v>8.296886994179232</v>
      </c>
      <c r="M20" s="3">
        <v>8.4102907538476632</v>
      </c>
      <c r="N20" s="3">
        <v>8.522149151280118</v>
      </c>
      <c r="O20" s="3">
        <v>8.6241902042501906</v>
      </c>
      <c r="P20" s="3">
        <v>8.7130064629428681</v>
      </c>
      <c r="Q20" s="3">
        <v>8.7884288890669922</v>
      </c>
      <c r="R20" s="3">
        <v>8.8521085573504017</v>
      </c>
      <c r="S20" s="3">
        <v>8.9066038240328993</v>
      </c>
      <c r="T20" s="3">
        <v>8.9548688220783497</v>
      </c>
      <c r="U20" s="11">
        <v>9</v>
      </c>
      <c r="V20" s="5"/>
    </row>
    <row r="21" spans="6:22" x14ac:dyDescent="0.25">
      <c r="F21" s="13">
        <v>1.6</v>
      </c>
      <c r="G21" s="10">
        <v>6</v>
      </c>
      <c r="H21" s="3">
        <v>6.048510443731093</v>
      </c>
      <c r="I21" s="3">
        <v>6.1130550005408359</v>
      </c>
      <c r="J21" s="3">
        <v>6.212206732625595</v>
      </c>
      <c r="K21" s="3">
        <v>6.3659088185154014</v>
      </c>
      <c r="L21" s="3">
        <v>6.5820400126501495</v>
      </c>
      <c r="M21" s="3">
        <v>6.8221268699816857</v>
      </c>
      <c r="N21" s="3">
        <v>7.0541156470853688</v>
      </c>
      <c r="O21" s="3">
        <v>7.2616052028452005</v>
      </c>
      <c r="P21" s="3">
        <v>7.4394067585264692</v>
      </c>
      <c r="Q21" s="3">
        <v>7.5886005360406124</v>
      </c>
      <c r="R21" s="3">
        <v>7.7134015163599816</v>
      </c>
      <c r="S21" s="3">
        <v>7.819437916743798</v>
      </c>
      <c r="T21" s="3">
        <v>7.9128714643028939</v>
      </c>
      <c r="U21" s="11">
        <v>8</v>
      </c>
      <c r="V21" s="5"/>
    </row>
    <row r="22" spans="6:22" x14ac:dyDescent="0.25">
      <c r="F22" s="13">
        <v>1.4</v>
      </c>
      <c r="G22" s="10">
        <v>4</v>
      </c>
      <c r="H22" s="3">
        <v>4.0526421208055643</v>
      </c>
      <c r="I22" s="3">
        <v>4.1266346552044544</v>
      </c>
      <c r="J22" s="3">
        <v>4.2517900831061581</v>
      </c>
      <c r="K22" s="3">
        <v>4.4741713185765324</v>
      </c>
      <c r="L22" s="3">
        <v>4.8432373679932192</v>
      </c>
      <c r="M22" s="3">
        <v>5.242061066437909</v>
      </c>
      <c r="N22" s="3">
        <v>5.6105813643453128</v>
      </c>
      <c r="O22" s="3">
        <v>5.9287082016482442</v>
      </c>
      <c r="P22" s="3">
        <v>6.1944148324068635</v>
      </c>
      <c r="Q22" s="3">
        <v>6.4131649803370001</v>
      </c>
      <c r="R22" s="3">
        <v>6.593459055410591</v>
      </c>
      <c r="S22" s="3">
        <v>6.7448748623593282</v>
      </c>
      <c r="T22" s="3">
        <v>6.8771791184300799</v>
      </c>
      <c r="U22" s="11">
        <v>7</v>
      </c>
      <c r="V22" s="5"/>
    </row>
    <row r="23" spans="6:22" x14ac:dyDescent="0.25">
      <c r="F23" s="13">
        <v>1.2</v>
      </c>
      <c r="G23" s="10">
        <v>2</v>
      </c>
      <c r="H23" s="3">
        <v>2.0354233842962275</v>
      </c>
      <c r="I23" s="3">
        <v>2.0890514163851881</v>
      </c>
      <c r="J23" s="3">
        <v>2.1941476260534607</v>
      </c>
      <c r="K23" s="3">
        <v>2.4357490047455164</v>
      </c>
      <c r="L23" s="3">
        <v>3.0746770743935383</v>
      </c>
      <c r="M23" s="3">
        <v>3.6922986635450434</v>
      </c>
      <c r="N23" s="3">
        <v>4.2174405423577888</v>
      </c>
      <c r="O23" s="3">
        <v>4.648231407159451</v>
      </c>
      <c r="P23" s="3">
        <v>4.996379389294539</v>
      </c>
      <c r="Q23" s="3">
        <v>5.276185497655292</v>
      </c>
      <c r="R23" s="3">
        <v>5.5023948627334498</v>
      </c>
      <c r="S23" s="3">
        <v>5.6894233589569616</v>
      </c>
      <c r="T23" s="3">
        <v>5.8509701471151914</v>
      </c>
      <c r="U23" s="11">
        <v>6</v>
      </c>
      <c r="V23" s="5"/>
    </row>
    <row r="24" spans="6:22" x14ac:dyDescent="0.25">
      <c r="F24" s="13">
        <v>1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3">
        <v>1.3274232613642878</v>
      </c>
      <c r="M24" s="3">
        <v>2.2350159711088318</v>
      </c>
      <c r="N24" s="3">
        <v>2.9186507345325365</v>
      </c>
      <c r="O24" s="3">
        <v>3.4503974955233856</v>
      </c>
      <c r="P24" s="3">
        <v>3.8666858201492182</v>
      </c>
      <c r="Q24" s="3">
        <v>4.1928027584503766</v>
      </c>
      <c r="R24" s="3">
        <v>4.4505115390731156</v>
      </c>
      <c r="S24" s="3">
        <v>4.6594535637437318</v>
      </c>
      <c r="T24" s="3">
        <v>4.8372781111370085</v>
      </c>
      <c r="U24" s="11">
        <v>5</v>
      </c>
      <c r="V24" s="5"/>
    </row>
    <row r="25" spans="6:22" x14ac:dyDescent="0.25">
      <c r="F25" s="13">
        <v>0.8</v>
      </c>
      <c r="G25" s="3"/>
      <c r="H25" s="3"/>
      <c r="I25" s="3"/>
      <c r="J25" s="3"/>
      <c r="K25" s="3"/>
      <c r="L25" s="10">
        <v>0</v>
      </c>
      <c r="M25" s="3">
        <v>1.001691225084322</v>
      </c>
      <c r="N25" s="3">
        <v>1.7717489292808835</v>
      </c>
      <c r="O25" s="3">
        <v>2.3680220204229645</v>
      </c>
      <c r="P25" s="3">
        <v>2.8271636375248885</v>
      </c>
      <c r="Q25" s="3">
        <v>3.1778281771113508</v>
      </c>
      <c r="R25" s="3">
        <v>3.4473949715353034</v>
      </c>
      <c r="S25" s="3">
        <v>3.6606012459296129</v>
      </c>
      <c r="T25" s="3">
        <v>3.8386887337562952</v>
      </c>
      <c r="U25" s="11">
        <v>4</v>
      </c>
      <c r="V25" s="5"/>
    </row>
    <row r="26" spans="6:22" x14ac:dyDescent="0.25">
      <c r="F26" s="13">
        <v>0.6</v>
      </c>
      <c r="G26" s="3"/>
      <c r="H26" s="3"/>
      <c r="I26" s="3"/>
      <c r="J26" s="3"/>
      <c r="K26" s="3"/>
      <c r="L26" s="3"/>
      <c r="M26" s="10">
        <v>0</v>
      </c>
      <c r="N26" s="3">
        <v>0.79863173718389557</v>
      </c>
      <c r="O26" s="3">
        <v>1.4227780195085296</v>
      </c>
      <c r="P26" s="3">
        <v>1.8961185325806427</v>
      </c>
      <c r="Q26" s="3">
        <v>2.2439513411090024</v>
      </c>
      <c r="R26" s="3">
        <v>2.500638924176676</v>
      </c>
      <c r="S26" s="3">
        <v>2.6968677147991538</v>
      </c>
      <c r="T26" s="3">
        <v>2.8568755780183279</v>
      </c>
      <c r="U26" s="11">
        <v>3</v>
      </c>
      <c r="V26" s="5"/>
    </row>
    <row r="27" spans="6:22" x14ac:dyDescent="0.25">
      <c r="F27" s="13">
        <v>0.4</v>
      </c>
      <c r="G27" s="3"/>
      <c r="H27" s="3"/>
      <c r="I27" s="3"/>
      <c r="J27" s="3"/>
      <c r="K27" s="3"/>
      <c r="L27" s="3"/>
      <c r="M27" s="3"/>
      <c r="N27" s="10">
        <v>0</v>
      </c>
      <c r="O27" s="3">
        <v>0.62833978794259093</v>
      </c>
      <c r="P27" s="3">
        <v>1.0905811323093249</v>
      </c>
      <c r="Q27" s="3">
        <v>1.4012197307003809</v>
      </c>
      <c r="R27" s="3">
        <v>1.6143416693889971</v>
      </c>
      <c r="S27" s="3">
        <v>1.7693551111637462</v>
      </c>
      <c r="T27" s="3">
        <v>1.891945863569001</v>
      </c>
      <c r="U27" s="11">
        <v>2</v>
      </c>
      <c r="V27" s="5"/>
    </row>
    <row r="28" spans="6:22" x14ac:dyDescent="0.25">
      <c r="F28" s="13">
        <v>0.2</v>
      </c>
      <c r="G28" s="3"/>
      <c r="H28" s="3"/>
      <c r="I28" s="3"/>
      <c r="J28" s="3"/>
      <c r="K28" s="3"/>
      <c r="L28" s="3"/>
      <c r="M28" s="3"/>
      <c r="N28" s="3"/>
      <c r="O28" s="10">
        <v>0</v>
      </c>
      <c r="P28" s="3">
        <v>0.43664647809076601</v>
      </c>
      <c r="Q28" s="3">
        <v>0.65600478008675656</v>
      </c>
      <c r="R28" s="3">
        <v>0.7861529115991146</v>
      </c>
      <c r="S28" s="3">
        <v>0.87426519696465577</v>
      </c>
      <c r="T28" s="3">
        <v>0.94155276512876074</v>
      </c>
      <c r="U28" s="11">
        <v>1</v>
      </c>
      <c r="V28" s="5"/>
    </row>
    <row r="29" spans="6:22" x14ac:dyDescent="0.25">
      <c r="F29" s="13">
        <v>0</v>
      </c>
      <c r="G29" s="3"/>
      <c r="H29" s="3"/>
      <c r="I29" s="3"/>
      <c r="J29" s="3"/>
      <c r="K29" s="3"/>
      <c r="L29" s="3"/>
      <c r="M29" s="3"/>
      <c r="N29" s="3"/>
      <c r="O29" s="3"/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1">
        <v>0</v>
      </c>
      <c r="V29" s="5"/>
    </row>
    <row r="30" spans="6:22" x14ac:dyDescent="0.25">
      <c r="F30" s="1"/>
      <c r="G30" s="14">
        <v>0</v>
      </c>
      <c r="H30" s="14">
        <v>0.2</v>
      </c>
      <c r="I30" s="14">
        <v>0.4</v>
      </c>
      <c r="J30" s="14">
        <v>0.6</v>
      </c>
      <c r="K30" s="14">
        <v>0.8</v>
      </c>
      <c r="L30" s="14">
        <v>1</v>
      </c>
      <c r="M30" s="14">
        <v>1.2</v>
      </c>
      <c r="N30" s="14">
        <v>1.4</v>
      </c>
      <c r="O30" s="14">
        <v>1.6</v>
      </c>
      <c r="P30" s="14">
        <v>1.8</v>
      </c>
      <c r="Q30" s="14">
        <v>2</v>
      </c>
      <c r="R30" s="14">
        <v>2.2000000000000002</v>
      </c>
      <c r="S30" s="14">
        <v>2.4</v>
      </c>
      <c r="T30" s="14">
        <v>2.6</v>
      </c>
      <c r="U30" s="15">
        <v>2.8</v>
      </c>
      <c r="V30" s="5"/>
    </row>
    <row r="32" spans="6:22" x14ac:dyDescent="0.25">
      <c r="V32" s="5"/>
    </row>
    <row r="33" spans="5:39" x14ac:dyDescent="0.25">
      <c r="E33" s="8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</row>
    <row r="34" spans="5:39" x14ac:dyDescent="0.25">
      <c r="E34" s="20" t="s">
        <v>8</v>
      </c>
      <c r="F34" s="13">
        <v>2</v>
      </c>
      <c r="G34" s="10">
        <f>(G5-G6)/$C$2</f>
        <v>10</v>
      </c>
      <c r="H34" s="10">
        <f>(H5-H6)/$C$2</f>
        <v>9.8582767320585951</v>
      </c>
      <c r="I34" s="10">
        <f t="shared" ref="I34:U34" si="24">(I5-I6)/$C$2</f>
        <v>9.6756591468754838</v>
      </c>
      <c r="J34" s="10">
        <f t="shared" si="24"/>
        <v>9.4096348581159717</v>
      </c>
      <c r="K34" s="10">
        <f t="shared" si="24"/>
        <v>9.0239139486668396</v>
      </c>
      <c r="L34" s="10">
        <f t="shared" si="24"/>
        <v>8.5155650290532403</v>
      </c>
      <c r="M34" s="10">
        <f t="shared" si="24"/>
        <v>7.9485462306987031</v>
      </c>
      <c r="N34" s="10">
        <f t="shared" si="24"/>
        <v>7.3892542435209752</v>
      </c>
      <c r="O34" s="10">
        <f t="shared" si="24"/>
        <v>6.8790489786647679</v>
      </c>
      <c r="P34" s="10">
        <f t="shared" si="24"/>
        <v>6.4349676851954385</v>
      </c>
      <c r="Q34" s="10">
        <f t="shared" si="24"/>
        <v>6.0578555545826518</v>
      </c>
      <c r="R34" s="10">
        <f t="shared" si="24"/>
        <v>5.7394572131751609</v>
      </c>
      <c r="S34" s="10">
        <f t="shared" si="24"/>
        <v>5.4669808797843089</v>
      </c>
      <c r="T34" s="10">
        <f t="shared" si="24"/>
        <v>5.2256558895802563</v>
      </c>
      <c r="U34" s="10">
        <f t="shared" si="24"/>
        <v>5</v>
      </c>
      <c r="V34" s="5"/>
      <c r="X34" s="27" t="s">
        <v>21</v>
      </c>
      <c r="Y34" s="27"/>
    </row>
    <row r="35" spans="5:39" x14ac:dyDescent="0.25">
      <c r="E35" s="21"/>
      <c r="F35" s="13">
        <v>1.8</v>
      </c>
      <c r="G35" s="10">
        <f>(G6-G7)/$C$2</f>
        <v>10</v>
      </c>
      <c r="H35" s="3">
        <f>(H5-H7)/(2*$C$2)</f>
        <v>9.8787238906666985</v>
      </c>
      <c r="I35" s="3">
        <f t="shared" ref="I35:T35" si="25">(I5-I7)/(2*$C$2)</f>
        <v>9.7173624986355147</v>
      </c>
      <c r="J35" s="3">
        <f t="shared" si="25"/>
        <v>9.4694831684160672</v>
      </c>
      <c r="K35" s="3">
        <f t="shared" si="25"/>
        <v>9.0852279536800769</v>
      </c>
      <c r="L35" s="3">
        <f t="shared" si="25"/>
        <v>8.5448999683315385</v>
      </c>
      <c r="M35" s="3">
        <f t="shared" si="25"/>
        <v>7.9446828249868195</v>
      </c>
      <c r="N35" s="3">
        <f t="shared" si="25"/>
        <v>7.3647108822173024</v>
      </c>
      <c r="O35" s="3">
        <f t="shared" si="25"/>
        <v>6.845986992806079</v>
      </c>
      <c r="P35" s="3">
        <f t="shared" si="25"/>
        <v>6.4014831036027848</v>
      </c>
      <c r="Q35" s="3">
        <f t="shared" si="25"/>
        <v>6.0284986598184709</v>
      </c>
      <c r="R35" s="3">
        <f t="shared" si="25"/>
        <v>5.7164962090341227</v>
      </c>
      <c r="S35" s="3">
        <f t="shared" si="25"/>
        <v>5.4514052080905628</v>
      </c>
      <c r="T35" s="3">
        <f t="shared" si="25"/>
        <v>5.2178213392173589</v>
      </c>
      <c r="U35" s="10">
        <f t="shared" ref="U35" si="26">(U6-U7)/$C$2</f>
        <v>5</v>
      </c>
      <c r="V35" s="5"/>
      <c r="X35" s="1" t="s">
        <v>17</v>
      </c>
      <c r="Y35" s="1">
        <v>1</v>
      </c>
      <c r="Z35" s="1">
        <v>2</v>
      </c>
      <c r="AA35" s="1">
        <v>3</v>
      </c>
      <c r="AB35" s="1">
        <v>4</v>
      </c>
      <c r="AC35" s="1">
        <v>5</v>
      </c>
      <c r="AD35" s="1">
        <v>6</v>
      </c>
      <c r="AE35" s="1">
        <v>7</v>
      </c>
      <c r="AF35" s="1">
        <v>8</v>
      </c>
      <c r="AG35" s="1">
        <v>9</v>
      </c>
      <c r="AH35" s="1">
        <v>10</v>
      </c>
      <c r="AI35" s="1">
        <v>11</v>
      </c>
      <c r="AJ35" s="1">
        <v>12</v>
      </c>
      <c r="AK35" s="1">
        <v>13</v>
      </c>
      <c r="AL35" s="1">
        <v>14</v>
      </c>
      <c r="AM35" s="1">
        <v>15</v>
      </c>
    </row>
    <row r="36" spans="5:39" x14ac:dyDescent="0.25">
      <c r="E36" s="21"/>
      <c r="F36" s="13">
        <v>1.6</v>
      </c>
      <c r="G36" s="10">
        <f t="shared" ref="G36:G38" si="27">(G7-G8)/$C$2</f>
        <v>10</v>
      </c>
      <c r="H36" s="3">
        <f t="shared" ref="H36:T36" si="28">(H6-H8)/(2*$C$2)</f>
        <v>9.9392563319508422</v>
      </c>
      <c r="I36" s="3">
        <f t="shared" si="28"/>
        <v>9.845583788538665</v>
      </c>
      <c r="J36" s="3">
        <f t="shared" si="28"/>
        <v>9.6657073631544872</v>
      </c>
      <c r="K36" s="3">
        <f t="shared" si="28"/>
        <v>9.3026147291913954</v>
      </c>
      <c r="L36" s="3">
        <f t="shared" si="28"/>
        <v>8.6341240654370495</v>
      </c>
      <c r="M36" s="3">
        <f t="shared" si="28"/>
        <v>7.9205742184848589</v>
      </c>
      <c r="N36" s="3">
        <f t="shared" si="28"/>
        <v>7.2789194672836928</v>
      </c>
      <c r="O36" s="3">
        <f t="shared" si="28"/>
        <v>6.7387050064445981</v>
      </c>
      <c r="P36" s="3">
        <f t="shared" si="28"/>
        <v>6.2964790762733713</v>
      </c>
      <c r="Q36" s="3">
        <f t="shared" si="28"/>
        <v>5.9381597717628249</v>
      </c>
      <c r="R36" s="3">
        <f t="shared" si="28"/>
        <v>5.6466237547938203</v>
      </c>
      <c r="S36" s="3">
        <f t="shared" si="28"/>
        <v>5.4043224041444526</v>
      </c>
      <c r="T36" s="3">
        <f t="shared" si="28"/>
        <v>5.1942242590989895</v>
      </c>
      <c r="U36" s="10">
        <f t="shared" ref="U36" si="29">(U7-U8)/$C$2</f>
        <v>5</v>
      </c>
      <c r="V36" s="5"/>
      <c r="X36" s="18" t="s">
        <v>11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</row>
    <row r="37" spans="5:39" x14ac:dyDescent="0.25">
      <c r="E37" s="21"/>
      <c r="F37" s="13">
        <v>1.4</v>
      </c>
      <c r="G37" s="10">
        <f t="shared" si="27"/>
        <v>10</v>
      </c>
      <c r="H37" s="3">
        <f t="shared" ref="H37:T37" si="30">(H7-H9)/(2*$C$2)</f>
        <v>10.032717648589079</v>
      </c>
      <c r="I37" s="3">
        <f t="shared" si="30"/>
        <v>10.060008960393144</v>
      </c>
      <c r="J37" s="3">
        <f t="shared" si="30"/>
        <v>10.045147766435893</v>
      </c>
      <c r="K37" s="3">
        <f t="shared" si="30"/>
        <v>9.8253995344302147</v>
      </c>
      <c r="L37" s="3">
        <f t="shared" si="30"/>
        <v>8.7684073456384191</v>
      </c>
      <c r="M37" s="3">
        <f t="shared" si="30"/>
        <v>7.8245705160768884</v>
      </c>
      <c r="N37" s="3">
        <f t="shared" si="30"/>
        <v>7.0916877617937324</v>
      </c>
      <c r="O37" s="3">
        <f t="shared" si="30"/>
        <v>6.533434489178946</v>
      </c>
      <c r="P37" s="3">
        <f t="shared" si="30"/>
        <v>6.1075684230404503</v>
      </c>
      <c r="Q37" s="3">
        <f t="shared" si="30"/>
        <v>5.7810375959219247</v>
      </c>
      <c r="R37" s="3">
        <f t="shared" si="30"/>
        <v>5.5275166340309019</v>
      </c>
      <c r="S37" s="3">
        <f t="shared" si="30"/>
        <v>5.325036394439624</v>
      </c>
      <c r="T37" s="3">
        <f t="shared" si="30"/>
        <v>5.1547532929551094</v>
      </c>
      <c r="U37" s="10">
        <f t="shared" ref="U37" si="31">(U8-U9)/$C$2</f>
        <v>5</v>
      </c>
      <c r="V37" s="5"/>
      <c r="X37" s="2" t="s">
        <v>12</v>
      </c>
      <c r="Y37" s="3">
        <f>G5</f>
        <v>10</v>
      </c>
      <c r="Z37" s="3">
        <f t="shared" ref="Z37:AL37" si="32">H5</f>
        <v>10</v>
      </c>
      <c r="AA37" s="3">
        <f t="shared" si="32"/>
        <v>10</v>
      </c>
      <c r="AB37" s="3">
        <f t="shared" si="32"/>
        <v>10</v>
      </c>
      <c r="AC37" s="3">
        <f t="shared" si="32"/>
        <v>10</v>
      </c>
      <c r="AD37" s="3">
        <f t="shared" si="32"/>
        <v>10</v>
      </c>
      <c r="AE37" s="3">
        <f t="shared" si="32"/>
        <v>10</v>
      </c>
      <c r="AF37" s="3">
        <f t="shared" si="32"/>
        <v>10</v>
      </c>
      <c r="AG37" s="3">
        <f t="shared" si="32"/>
        <v>10</v>
      </c>
      <c r="AH37" s="3">
        <f t="shared" si="32"/>
        <v>10</v>
      </c>
      <c r="AI37" s="3">
        <f t="shared" si="32"/>
        <v>10</v>
      </c>
      <c r="AJ37" s="3">
        <f t="shared" si="32"/>
        <v>10</v>
      </c>
      <c r="AK37" s="3">
        <f t="shared" si="32"/>
        <v>10</v>
      </c>
      <c r="AL37" s="3">
        <f t="shared" si="32"/>
        <v>10</v>
      </c>
      <c r="AM37" s="3">
        <f>U5</f>
        <v>10</v>
      </c>
    </row>
    <row r="38" spans="5:39" x14ac:dyDescent="0.25">
      <c r="E38" s="21"/>
      <c r="F38" s="13">
        <v>1.2</v>
      </c>
      <c r="G38" s="10">
        <f t="shared" si="27"/>
        <v>10</v>
      </c>
      <c r="H38" s="3">
        <f t="shared" ref="H38:T43" si="33">(H8-H10)/(2*$C$2)</f>
        <v>10.131605302019858</v>
      </c>
      <c r="I38" s="3">
        <f t="shared" si="33"/>
        <v>10.316586638023592</v>
      </c>
      <c r="J38" s="3">
        <f t="shared" si="33"/>
        <v>10.629475207787525</v>
      </c>
      <c r="K38" s="3">
        <f t="shared" si="33"/>
        <v>11.185428296475184</v>
      </c>
      <c r="L38" s="3">
        <f t="shared" si="33"/>
        <v>8.7895352665973476</v>
      </c>
      <c r="M38" s="3">
        <f t="shared" si="33"/>
        <v>7.5176127383369202</v>
      </c>
      <c r="N38" s="3">
        <f t="shared" si="33"/>
        <v>6.7298265745365127</v>
      </c>
      <c r="O38" s="3">
        <f t="shared" si="33"/>
        <v>6.1957767653079108</v>
      </c>
      <c r="P38" s="3">
        <f t="shared" si="33"/>
        <v>5.8193225306331646</v>
      </c>
      <c r="Q38" s="3">
        <f t="shared" si="33"/>
        <v>5.5509055547027382</v>
      </c>
      <c r="R38" s="3">
        <f t="shared" si="33"/>
        <v>5.3573687908293106</v>
      </c>
      <c r="S38" s="3">
        <f t="shared" si="33"/>
        <v>5.2135532465279555</v>
      </c>
      <c r="T38" s="3">
        <f t="shared" si="33"/>
        <v>5.0997525182263699</v>
      </c>
      <c r="U38" s="10">
        <f t="shared" ref="U38" si="34">(U9-U10)/$C$2</f>
        <v>5</v>
      </c>
      <c r="V38" s="5"/>
      <c r="X38" s="2" t="s">
        <v>13</v>
      </c>
      <c r="Y38" s="3">
        <f>$F$5</f>
        <v>2</v>
      </c>
      <c r="Z38" s="3">
        <f t="shared" ref="Z38:AM38" si="35">$F$5</f>
        <v>2</v>
      </c>
      <c r="AA38" s="3">
        <f t="shared" si="35"/>
        <v>2</v>
      </c>
      <c r="AB38" s="3">
        <f t="shared" si="35"/>
        <v>2</v>
      </c>
      <c r="AC38" s="3">
        <f t="shared" si="35"/>
        <v>2</v>
      </c>
      <c r="AD38" s="3">
        <f t="shared" si="35"/>
        <v>2</v>
      </c>
      <c r="AE38" s="3">
        <f t="shared" si="35"/>
        <v>2</v>
      </c>
      <c r="AF38" s="3">
        <f t="shared" si="35"/>
        <v>2</v>
      </c>
      <c r="AG38" s="3">
        <f t="shared" si="35"/>
        <v>2</v>
      </c>
      <c r="AH38" s="3">
        <f t="shared" si="35"/>
        <v>2</v>
      </c>
      <c r="AI38" s="3">
        <f t="shared" si="35"/>
        <v>2</v>
      </c>
      <c r="AJ38" s="3">
        <f t="shared" si="35"/>
        <v>2</v>
      </c>
      <c r="AK38" s="3">
        <f t="shared" si="35"/>
        <v>2</v>
      </c>
      <c r="AL38" s="3">
        <f t="shared" si="35"/>
        <v>2</v>
      </c>
      <c r="AM38" s="3">
        <f t="shared" si="35"/>
        <v>2</v>
      </c>
    </row>
    <row r="39" spans="5:39" x14ac:dyDescent="0.25">
      <c r="E39" s="21"/>
      <c r="F39" s="13">
        <v>1</v>
      </c>
      <c r="G39" s="10">
        <f>(G9-G10)/$C$2</f>
        <v>10</v>
      </c>
      <c r="H39" s="10">
        <f>(H9-H10)/$C$2</f>
        <v>10.177116921488439</v>
      </c>
      <c r="I39" s="10">
        <f>(I9-I10)/$C$2</f>
        <v>10.445257081942678</v>
      </c>
      <c r="J39" s="10">
        <f t="shared" ref="J39:K39" si="36">(J9-J10)/$C$2</f>
        <v>10.970738130296077</v>
      </c>
      <c r="K39" s="10">
        <f t="shared" si="36"/>
        <v>12.178745023779413</v>
      </c>
      <c r="L39" s="3">
        <f t="shared" si="33"/>
        <v>7.6866926860300415</v>
      </c>
      <c r="M39" s="3">
        <f t="shared" si="33"/>
        <v>6.7265185961927196</v>
      </c>
      <c r="N39" s="3">
        <f t="shared" si="33"/>
        <v>6.1142290327241406</v>
      </c>
      <c r="O39" s="3">
        <f t="shared" si="33"/>
        <v>5.7005234668664206</v>
      </c>
      <c r="P39" s="3">
        <f t="shared" si="33"/>
        <v>5.4230393794416543</v>
      </c>
      <c r="Q39" s="3">
        <f t="shared" si="33"/>
        <v>5.245893301372373</v>
      </c>
      <c r="R39" s="3">
        <f t="shared" si="33"/>
        <v>5.1374997280032515</v>
      </c>
      <c r="S39" s="3">
        <f t="shared" si="33"/>
        <v>5.0720552825732597</v>
      </c>
      <c r="T39" s="3">
        <f t="shared" si="33"/>
        <v>5.0307035333994383</v>
      </c>
      <c r="U39" s="10">
        <f t="shared" ref="U39" si="37">(U10-U11)/$C$2</f>
        <v>5</v>
      </c>
      <c r="V39" s="5"/>
      <c r="X39" s="2" t="s">
        <v>8</v>
      </c>
      <c r="Y39" s="3">
        <f>G34</f>
        <v>10</v>
      </c>
      <c r="Z39" s="3">
        <f t="shared" ref="Z39:AM39" si="38">H34</f>
        <v>9.8582767320585951</v>
      </c>
      <c r="AA39" s="3">
        <f t="shared" si="38"/>
        <v>9.6756591468754838</v>
      </c>
      <c r="AB39" s="3">
        <f t="shared" si="38"/>
        <v>9.4096348581159717</v>
      </c>
      <c r="AC39" s="3">
        <f t="shared" si="38"/>
        <v>9.0239139486668396</v>
      </c>
      <c r="AD39" s="3">
        <f t="shared" si="38"/>
        <v>8.5155650290532403</v>
      </c>
      <c r="AE39" s="3">
        <f t="shared" si="38"/>
        <v>7.9485462306987031</v>
      </c>
      <c r="AF39" s="3">
        <f t="shared" si="38"/>
        <v>7.3892542435209752</v>
      </c>
      <c r="AG39" s="3">
        <f t="shared" si="38"/>
        <v>6.8790489786647679</v>
      </c>
      <c r="AH39" s="3">
        <f t="shared" si="38"/>
        <v>6.4349676851954385</v>
      </c>
      <c r="AI39" s="3">
        <f t="shared" si="38"/>
        <v>6.0578555545826518</v>
      </c>
      <c r="AJ39" s="3">
        <f t="shared" si="38"/>
        <v>5.7394572131751609</v>
      </c>
      <c r="AK39" s="3">
        <f t="shared" si="38"/>
        <v>5.4669808797843089</v>
      </c>
      <c r="AL39" s="3">
        <f t="shared" si="38"/>
        <v>5.2256558895802563</v>
      </c>
      <c r="AM39" s="3">
        <f t="shared" si="38"/>
        <v>5</v>
      </c>
    </row>
    <row r="40" spans="5:39" x14ac:dyDescent="0.25">
      <c r="E40" s="21"/>
      <c r="F40" s="13">
        <v>0.8</v>
      </c>
      <c r="G40" s="6"/>
      <c r="H40" s="6"/>
      <c r="I40" s="6"/>
      <c r="J40" s="6"/>
      <c r="K40" s="6"/>
      <c r="L40" s="10">
        <f>(L10-L11)/$C$2</f>
        <v>6.6371163068779619</v>
      </c>
      <c r="M40" s="3">
        <f t="shared" si="33"/>
        <v>5.5875399278288684</v>
      </c>
      <c r="N40" s="3">
        <f t="shared" si="33"/>
        <v>5.3000474934259234</v>
      </c>
      <c r="O40" s="3">
        <f t="shared" si="33"/>
        <v>5.0690486900837977</v>
      </c>
      <c r="P40" s="3">
        <f t="shared" si="33"/>
        <v>4.9264182189634038</v>
      </c>
      <c r="Q40" s="3">
        <f t="shared" si="33"/>
        <v>4.8721285433874524</v>
      </c>
      <c r="R40" s="3">
        <f t="shared" si="33"/>
        <v>4.8746815372690016</v>
      </c>
      <c r="S40" s="3">
        <f t="shared" si="33"/>
        <v>4.9064646223802111</v>
      </c>
      <c r="T40" s="3">
        <f t="shared" si="33"/>
        <v>4.9510063328067311</v>
      </c>
      <c r="U40" s="10">
        <f t="shared" ref="U40" si="39">(U11-U12)/$C$2</f>
        <v>5</v>
      </c>
      <c r="V40" s="5"/>
      <c r="X40" s="2" t="s">
        <v>9</v>
      </c>
      <c r="Y40" s="3">
        <f>G49</f>
        <v>0</v>
      </c>
      <c r="Z40" s="3">
        <f t="shared" ref="Z40:AM40" si="40">H49</f>
        <v>0</v>
      </c>
      <c r="AA40" s="3">
        <f t="shared" si="40"/>
        <v>0</v>
      </c>
      <c r="AB40" s="3">
        <f t="shared" si="40"/>
        <v>0</v>
      </c>
      <c r="AC40" s="3">
        <f t="shared" si="40"/>
        <v>0</v>
      </c>
      <c r="AD40" s="3">
        <f t="shared" si="40"/>
        <v>0</v>
      </c>
      <c r="AE40" s="3">
        <f t="shared" si="40"/>
        <v>0</v>
      </c>
      <c r="AF40" s="3">
        <f t="shared" si="40"/>
        <v>0</v>
      </c>
      <c r="AG40" s="3">
        <f t="shared" si="40"/>
        <v>0</v>
      </c>
      <c r="AH40" s="3">
        <f t="shared" si="40"/>
        <v>0</v>
      </c>
      <c r="AI40" s="3">
        <f t="shared" si="40"/>
        <v>0</v>
      </c>
      <c r="AJ40" s="3">
        <f t="shared" si="40"/>
        <v>0</v>
      </c>
      <c r="AK40" s="3">
        <f t="shared" si="40"/>
        <v>0</v>
      </c>
      <c r="AL40" s="3">
        <f t="shared" si="40"/>
        <v>0</v>
      </c>
      <c r="AM40" s="3">
        <f t="shared" si="40"/>
        <v>0</v>
      </c>
    </row>
    <row r="41" spans="5:39" x14ac:dyDescent="0.25">
      <c r="E41" s="21"/>
      <c r="F41" s="13">
        <v>0.6</v>
      </c>
      <c r="G41" s="6"/>
      <c r="H41" s="6"/>
      <c r="I41" s="6"/>
      <c r="J41" s="6"/>
      <c r="K41" s="6"/>
      <c r="L41" s="6"/>
      <c r="M41" s="10">
        <f>(M11-M12)/$C$2</f>
        <v>5.008456125487144</v>
      </c>
      <c r="N41" s="3">
        <f t="shared" si="33"/>
        <v>4.4293723232648237</v>
      </c>
      <c r="O41" s="3">
        <f t="shared" si="33"/>
        <v>4.3492055812623942</v>
      </c>
      <c r="P41" s="3">
        <f t="shared" si="33"/>
        <v>4.3414562630936215</v>
      </c>
      <c r="Q41" s="3">
        <f t="shared" si="33"/>
        <v>4.4415211160784303</v>
      </c>
      <c r="R41" s="3">
        <f t="shared" si="33"/>
        <v>4.5826332554067735</v>
      </c>
      <c r="S41" s="3">
        <f t="shared" si="33"/>
        <v>4.7281153369454225</v>
      </c>
      <c r="T41" s="3">
        <f t="shared" si="33"/>
        <v>4.8668571754838199</v>
      </c>
      <c r="U41" s="10">
        <f t="shared" ref="U41" si="41">(U12-U13)/$C$2</f>
        <v>5</v>
      </c>
      <c r="V41" s="5"/>
      <c r="X41" s="2" t="s">
        <v>14</v>
      </c>
      <c r="Y41" s="3">
        <f>G63</f>
        <v>10</v>
      </c>
      <c r="Z41" s="3">
        <f t="shared" ref="Z41:AM41" si="42">H63</f>
        <v>9.8582767320585951</v>
      </c>
      <c r="AA41" s="3">
        <f t="shared" si="42"/>
        <v>9.6756591468754838</v>
      </c>
      <c r="AB41" s="3">
        <f t="shared" si="42"/>
        <v>9.4096348581159717</v>
      </c>
      <c r="AC41" s="3">
        <f t="shared" si="42"/>
        <v>9.0239139486668396</v>
      </c>
      <c r="AD41" s="3">
        <f t="shared" si="42"/>
        <v>8.5155650290532403</v>
      </c>
      <c r="AE41" s="3">
        <f t="shared" si="42"/>
        <v>7.9485462306987031</v>
      </c>
      <c r="AF41" s="3">
        <f t="shared" si="42"/>
        <v>7.3892542435209752</v>
      </c>
      <c r="AG41" s="3">
        <f t="shared" si="42"/>
        <v>6.8790489786647679</v>
      </c>
      <c r="AH41" s="3">
        <f t="shared" si="42"/>
        <v>6.4349676851954385</v>
      </c>
      <c r="AI41" s="3">
        <f t="shared" si="42"/>
        <v>6.0578555545826518</v>
      </c>
      <c r="AJ41" s="3">
        <f t="shared" si="42"/>
        <v>5.7394572131751609</v>
      </c>
      <c r="AK41" s="3">
        <f t="shared" si="42"/>
        <v>5.4669808797843089</v>
      </c>
      <c r="AL41" s="3">
        <f t="shared" si="42"/>
        <v>5.2256558895802563</v>
      </c>
      <c r="AM41" s="3">
        <f t="shared" si="42"/>
        <v>5</v>
      </c>
    </row>
    <row r="42" spans="5:39" x14ac:dyDescent="0.25">
      <c r="E42" s="21"/>
      <c r="F42" s="13">
        <v>0.4</v>
      </c>
      <c r="G42" s="6"/>
      <c r="H42" s="6"/>
      <c r="I42" s="6"/>
      <c r="J42" s="6"/>
      <c r="K42" s="6"/>
      <c r="L42" s="6"/>
      <c r="M42" s="6"/>
      <c r="N42" s="10">
        <f>(N12-N13)/$C$2</f>
        <v>3.9931586859867663</v>
      </c>
      <c r="O42" s="3">
        <f t="shared" si="33"/>
        <v>3.5569450488313081</v>
      </c>
      <c r="P42" s="3">
        <f t="shared" si="33"/>
        <v>3.6486801362847898</v>
      </c>
      <c r="Q42" s="3">
        <f t="shared" si="33"/>
        <v>3.9698664026117436</v>
      </c>
      <c r="R42" s="3">
        <f t="shared" si="33"/>
        <v>4.28621503149503</v>
      </c>
      <c r="S42" s="3">
        <f t="shared" si="33"/>
        <v>4.5565062946229622</v>
      </c>
      <c r="T42" s="3">
        <f t="shared" si="33"/>
        <v>4.7883070322442451</v>
      </c>
      <c r="U42" s="10">
        <f t="shared" ref="U42" si="43">(U13-U14)/$C$2</f>
        <v>5</v>
      </c>
      <c r="V42" s="5"/>
      <c r="X42" s="2" t="s">
        <v>15</v>
      </c>
      <c r="Y42" s="1">
        <f>C5</f>
        <v>101325</v>
      </c>
      <c r="Z42" s="1">
        <f>(Y42+(Y41^2/2))-(Z41^2/2)</f>
        <v>101326.40718993708</v>
      </c>
      <c r="AA42" s="1">
        <f>(Z42+(Z41^2/2))-(AA41^2/2)</f>
        <v>101328.19081003674</v>
      </c>
      <c r="AB42" s="1">
        <f t="shared" ref="AB42" si="44">(AA42+(AA41^2/2))-(AB41^2/2)</f>
        <v>101330.72938591846</v>
      </c>
      <c r="AC42" s="1">
        <f t="shared" ref="AC42" si="45">(AB42+(AB41^2/2))-(AC41^2/2)</f>
        <v>101334.28448852352</v>
      </c>
      <c r="AD42" s="1">
        <f t="shared" ref="AD42" si="46">(AC42+(AC41^2/2))-(AD41^2/2)</f>
        <v>101338.74257611798</v>
      </c>
      <c r="AE42" s="1">
        <f t="shared" ref="AE42" si="47">(AD42+(AD41^2/2))-(AE41^2/2)</f>
        <v>101343.41030640922</v>
      </c>
      <c r="AF42" s="1">
        <f t="shared" ref="AF42" si="48">(AE42+(AE41^2/2))-(AF41^2/2)</f>
        <v>101347.69946086231</v>
      </c>
      <c r="AG42" s="1">
        <f t="shared" ref="AG42" si="49">(AF42+(AF41^2/2))-(AG41^2/2)</f>
        <v>101351.33934257456</v>
      </c>
      <c r="AH42" s="1">
        <f t="shared" ref="AH42" si="50">(AG42+(AG41^2/2))-(AH41^2/2)</f>
        <v>101354.29559544525</v>
      </c>
      <c r="AI42" s="1">
        <f t="shared" ref="AI42" si="51">(AH42+(AH41^2/2))-(AI41^2/2)</f>
        <v>101356.6511930399</v>
      </c>
      <c r="AJ42" s="1">
        <f t="shared" ref="AJ42" si="52">(AI42+(AI41^2/2))-(AJ41^2/2)</f>
        <v>101358.52931544906</v>
      </c>
      <c r="AK42" s="1">
        <f t="shared" ref="AK42" si="53">(AJ42+(AJ41^2/2))-(AK41^2/2)</f>
        <v>101360.05606003004</v>
      </c>
      <c r="AL42" s="1">
        <f t="shared" ref="AL42" si="54">(AK42+(AK41^2/2))-(AL41^2/2)</f>
        <v>101361.34626026185</v>
      </c>
      <c r="AM42" s="1">
        <f t="shared" ref="AM42" si="55">(AL42+(AL41^2/2))-(AM41^2/2)</f>
        <v>101362.5</v>
      </c>
    </row>
    <row r="43" spans="5:39" x14ac:dyDescent="0.25">
      <c r="E43" s="21"/>
      <c r="F43" s="13">
        <v>0.2</v>
      </c>
      <c r="G43" s="6"/>
      <c r="H43" s="6"/>
      <c r="I43" s="6"/>
      <c r="J43" s="6"/>
      <c r="K43" s="6"/>
      <c r="L43" s="6"/>
      <c r="M43" s="6"/>
      <c r="N43" s="6"/>
      <c r="O43" s="10">
        <f>(O13-O14)/$C$2</f>
        <v>3.1416989397723181</v>
      </c>
      <c r="P43" s="3">
        <f t="shared" si="33"/>
        <v>2.7264528308214877</v>
      </c>
      <c r="Q43" s="3">
        <f t="shared" si="33"/>
        <v>3.5030493268088003</v>
      </c>
      <c r="R43" s="3">
        <f t="shared" si="33"/>
        <v>4.0358541735249487</v>
      </c>
      <c r="S43" s="3">
        <f t="shared" si="33"/>
        <v>4.4233877779511293</v>
      </c>
      <c r="T43" s="3">
        <f t="shared" si="33"/>
        <v>4.7298646589442717</v>
      </c>
      <c r="U43" s="10">
        <f t="shared" ref="U43" si="56">(U14-U15)/$C$2</f>
        <v>5</v>
      </c>
      <c r="V43" s="5"/>
      <c r="X43" s="2" t="s">
        <v>16</v>
      </c>
      <c r="Y43" s="3">
        <f>(Y42-$C$5)/($C$4^2/2)</f>
        <v>0</v>
      </c>
      <c r="Z43" s="3">
        <f>(Z42-$C$5)/($C$4^2/2)</f>
        <v>2.8143798741512002E-2</v>
      </c>
      <c r="AA43" s="3">
        <f t="shared" ref="AA43" si="57">(AA42-$C$5)/($C$4^2/2)</f>
        <v>6.3816200734872833E-2</v>
      </c>
      <c r="AB43" s="3">
        <f t="shared" ref="AB43" si="58">(AB42-$C$5)/($C$4^2/2)</f>
        <v>0.1145877183691482</v>
      </c>
      <c r="AC43" s="3">
        <f t="shared" ref="AC43" si="59">(AC42-$C$5)/($C$4^2/2)</f>
        <v>0.18568977047048973</v>
      </c>
      <c r="AD43" s="3">
        <f t="shared" ref="AD43" si="60">(AD42-$C$5)/($C$4^2/2)</f>
        <v>0.27485152235953136</v>
      </c>
      <c r="AE43" s="3">
        <f t="shared" ref="AE43" si="61">(AE42-$C$5)/($C$4^2/2)</f>
        <v>0.36820612818439258</v>
      </c>
      <c r="AF43" s="3">
        <f t="shared" ref="AF43" si="62">(AF42-$C$5)/($C$4^2/2)</f>
        <v>0.4539892172461259</v>
      </c>
      <c r="AG43" s="3">
        <f t="shared" ref="AG43" si="63">(AG42-$C$5)/($C$4^2/2)</f>
        <v>0.52678685149119697</v>
      </c>
      <c r="AH43" s="3">
        <f t="shared" ref="AH43" si="64">(AH42-$C$5)/($C$4^2/2)</f>
        <v>0.58591190890496359</v>
      </c>
      <c r="AI43" s="3">
        <f t="shared" ref="AI43" si="65">(AI42-$C$5)/($C$4^2/2)</f>
        <v>0.63302386079798456</v>
      </c>
      <c r="AJ43" s="3">
        <f t="shared" ref="AJ43" si="66">(AJ42-$C$5)/($C$4^2/2)</f>
        <v>0.6705863089812919</v>
      </c>
      <c r="AK43" s="3">
        <f t="shared" ref="AK43" si="67">(AK42-$C$5)/($C$4^2/2)</f>
        <v>0.70112120060075545</v>
      </c>
      <c r="AL43" s="3">
        <f t="shared" ref="AL43" si="68">(AL42-$C$5)/($C$4^2/2)</f>
        <v>0.7269252052370575</v>
      </c>
      <c r="AM43" s="3">
        <f t="shared" ref="AM43" si="69">(AM42-$C$5)/($C$4^2/2)</f>
        <v>0.75</v>
      </c>
    </row>
    <row r="44" spans="5:39" x14ac:dyDescent="0.25">
      <c r="E44" s="21"/>
      <c r="F44" s="13">
        <v>0</v>
      </c>
      <c r="G44" s="6"/>
      <c r="H44" s="6"/>
      <c r="I44" s="6"/>
      <c r="J44" s="6"/>
      <c r="K44" s="6"/>
      <c r="L44" s="6"/>
      <c r="M44" s="6"/>
      <c r="N44" s="6"/>
      <c r="O44" s="6"/>
      <c r="P44" s="10">
        <f>(P14-P15)/$C$2</f>
        <v>2.1832323904951014</v>
      </c>
      <c r="Q44" s="10">
        <f t="shared" ref="Q44:U44" si="70">(Q14-Q15)/$C$2</f>
        <v>3.2800239004878264</v>
      </c>
      <c r="R44" s="10">
        <f t="shared" si="70"/>
        <v>3.9307645580505111</v>
      </c>
      <c r="S44" s="10">
        <f t="shared" si="70"/>
        <v>4.3713259848645265</v>
      </c>
      <c r="T44" s="10">
        <f t="shared" si="70"/>
        <v>4.7077638256670706</v>
      </c>
      <c r="U44" s="10">
        <f t="shared" si="70"/>
        <v>5</v>
      </c>
      <c r="V44" s="5"/>
    </row>
    <row r="45" spans="5:39" x14ac:dyDescent="0.25">
      <c r="E45" s="22"/>
      <c r="F45" s="3"/>
      <c r="G45" s="14">
        <v>0</v>
      </c>
      <c r="H45" s="14">
        <v>0.2</v>
      </c>
      <c r="I45" s="14">
        <v>0.4</v>
      </c>
      <c r="J45" s="14">
        <v>0.6</v>
      </c>
      <c r="K45" s="14">
        <v>0.8</v>
      </c>
      <c r="L45" s="14">
        <v>1</v>
      </c>
      <c r="M45" s="14">
        <v>1.2</v>
      </c>
      <c r="N45" s="14">
        <v>1.4</v>
      </c>
      <c r="O45" s="14">
        <v>1.6</v>
      </c>
      <c r="P45" s="14">
        <v>1.8</v>
      </c>
      <c r="Q45" s="14">
        <v>2</v>
      </c>
      <c r="R45" s="14">
        <v>2.2000000000000002</v>
      </c>
      <c r="S45" s="14">
        <v>2.4</v>
      </c>
      <c r="T45" s="14">
        <v>2.6</v>
      </c>
      <c r="U45" s="15">
        <v>2.8</v>
      </c>
      <c r="V45" s="5"/>
    </row>
    <row r="48" spans="5:39" ht="15" customHeight="1" x14ac:dyDescent="0.25">
      <c r="E48" s="9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</row>
    <row r="49" spans="5:22" x14ac:dyDescent="0.25">
      <c r="E49" s="23" t="s">
        <v>9</v>
      </c>
      <c r="F49" s="14">
        <v>2</v>
      </c>
      <c r="G49" s="10">
        <f>-(H5-G5)/$C$2</f>
        <v>0</v>
      </c>
      <c r="H49" s="10">
        <f>-(I5-G5)/2*$C$2</f>
        <v>0</v>
      </c>
      <c r="I49" s="10">
        <f t="shared" ref="I49:S59" si="71">-(J5-H5)/2*$C$2</f>
        <v>0</v>
      </c>
      <c r="J49" s="10">
        <f t="shared" si="71"/>
        <v>0</v>
      </c>
      <c r="K49" s="10">
        <f t="shared" si="71"/>
        <v>0</v>
      </c>
      <c r="L49" s="10">
        <f t="shared" si="71"/>
        <v>0</v>
      </c>
      <c r="M49" s="10">
        <f>-(N5-L5)/2*$C$2</f>
        <v>0</v>
      </c>
      <c r="N49" s="10">
        <f t="shared" si="71"/>
        <v>0</v>
      </c>
      <c r="O49" s="10">
        <f t="shared" si="71"/>
        <v>0</v>
      </c>
      <c r="P49" s="10">
        <f t="shared" si="71"/>
        <v>0</v>
      </c>
      <c r="Q49" s="10">
        <f t="shared" si="71"/>
        <v>0</v>
      </c>
      <c r="R49" s="10">
        <f t="shared" si="71"/>
        <v>0</v>
      </c>
      <c r="S49" s="10">
        <f t="shared" si="71"/>
        <v>0</v>
      </c>
      <c r="T49" s="10">
        <f>-(U5-S5)/2*$C$2</f>
        <v>0</v>
      </c>
      <c r="U49" s="10">
        <f>-(U5-T5)/$C$2</f>
        <v>0</v>
      </c>
      <c r="V49" s="5"/>
    </row>
    <row r="50" spans="5:22" x14ac:dyDescent="0.25">
      <c r="E50" s="24"/>
      <c r="F50" s="14">
        <v>1.8</v>
      </c>
      <c r="G50" s="12">
        <f>-(H6-G6)/$C$2</f>
        <v>-0.14172326794140488</v>
      </c>
      <c r="H50" s="3">
        <f>-(I6-G6)/(2*$C$2)</f>
        <v>-0.16217042656225811</v>
      </c>
      <c r="I50" s="3">
        <f>-(J6-H6)/(2*$C$2)</f>
        <v>-0.22432093697131172</v>
      </c>
      <c r="J50" s="3">
        <f t="shared" ref="J50:T50" si="72">-(K6-I6)/(2*$C$2)</f>
        <v>-0.32587259910432209</v>
      </c>
      <c r="K50" s="3">
        <f t="shared" si="72"/>
        <v>-0.44703491453136568</v>
      </c>
      <c r="L50" s="3">
        <f t="shared" si="72"/>
        <v>-0.53768385898406823</v>
      </c>
      <c r="M50" s="3">
        <f t="shared" si="72"/>
        <v>-0.56315539276613258</v>
      </c>
      <c r="N50" s="3">
        <f t="shared" si="72"/>
        <v>-0.5347486260169676</v>
      </c>
      <c r="O50" s="3">
        <f t="shared" si="72"/>
        <v>-0.47714327916276833</v>
      </c>
      <c r="P50" s="3">
        <f t="shared" si="72"/>
        <v>-0.41059671204105808</v>
      </c>
      <c r="Q50" s="3">
        <f t="shared" si="72"/>
        <v>-0.3477552360101388</v>
      </c>
      <c r="R50" s="3">
        <f t="shared" si="72"/>
        <v>-0.29543733739917144</v>
      </c>
      <c r="S50" s="3">
        <f t="shared" si="72"/>
        <v>-0.2569006617974523</v>
      </c>
      <c r="T50" s="3">
        <f t="shared" si="72"/>
        <v>-0.23349043989215446</v>
      </c>
      <c r="U50" s="3">
        <f>-(U6-T6)/$C$2</f>
        <v>-0.22565588958025629</v>
      </c>
      <c r="V50" s="5"/>
    </row>
    <row r="51" spans="5:22" x14ac:dyDescent="0.25">
      <c r="E51" s="24"/>
      <c r="F51" s="14">
        <v>1.6</v>
      </c>
      <c r="G51" s="12">
        <f t="shared" ref="G51:G54" si="73">-(H7-G7)/$C$2</f>
        <v>-0.24255221866660293</v>
      </c>
      <c r="H51" s="3">
        <f t="shared" ref="H51:I54" si="74">-(I7-G7)/(2*$C$2)</f>
        <v>-0.2826375013644844</v>
      </c>
      <c r="I51" s="3">
        <f t="shared" si="74"/>
        <v>-0.40924072225063002</v>
      </c>
      <c r="J51" s="3">
        <f t="shared" ref="J51:T51" si="75">-(K7-I7)/(2*$C$2)</f>
        <v>-0.6321345449554383</v>
      </c>
      <c r="K51" s="3">
        <f t="shared" si="75"/>
        <v>-0.92458320008452999</v>
      </c>
      <c r="L51" s="3">
        <f t="shared" si="75"/>
        <v>-1.1405451286932577</v>
      </c>
      <c r="M51" s="3">
        <f t="shared" si="75"/>
        <v>-1.1801890861142361</v>
      </c>
      <c r="N51" s="3">
        <f t="shared" si="75"/>
        <v>-1.0986958321807405</v>
      </c>
      <c r="O51" s="3">
        <f t="shared" si="75"/>
        <v>-0.96322777861451714</v>
      </c>
      <c r="P51" s="3">
        <f t="shared" si="75"/>
        <v>-0.81748833298760815</v>
      </c>
      <c r="Q51" s="3">
        <f t="shared" si="75"/>
        <v>-0.68498689456866213</v>
      </c>
      <c r="R51" s="3">
        <f t="shared" si="75"/>
        <v>-0.57709345172790805</v>
      </c>
      <c r="S51" s="3">
        <f t="shared" si="75"/>
        <v>-0.49867486981676423</v>
      </c>
      <c r="T51" s="3">
        <f t="shared" si="75"/>
        <v>-0.45140520809056284</v>
      </c>
      <c r="U51" s="3">
        <f>-(U7-T7)/$C$2</f>
        <v>-0.43564267843471782</v>
      </c>
      <c r="V51" s="5"/>
    </row>
    <row r="52" spans="5:22" x14ac:dyDescent="0.25">
      <c r="E52" s="24"/>
      <c r="F52" s="14">
        <v>1.4</v>
      </c>
      <c r="G52" s="12">
        <f t="shared" si="73"/>
        <v>-0.26321060403971863</v>
      </c>
      <c r="H52" s="3">
        <f t="shared" si="74"/>
        <v>-0.31658663802359266</v>
      </c>
      <c r="I52" s="3">
        <f t="shared" si="74"/>
        <v>-0.49786990576766721</v>
      </c>
      <c r="J52" s="3">
        <f t="shared" ref="J52:T52" si="76">-(K8-I8)/(2*$C$2)</f>
        <v>-0.86884165845159123</v>
      </c>
      <c r="K52" s="3">
        <f t="shared" si="76"/>
        <v>-1.4786182122488034</v>
      </c>
      <c r="L52" s="3">
        <f t="shared" si="76"/>
        <v>-1.9197243696906052</v>
      </c>
      <c r="M52" s="3">
        <f t="shared" si="76"/>
        <v>-1.9183599909194893</v>
      </c>
      <c r="N52" s="3">
        <f t="shared" si="76"/>
        <v>-1.7166178380572283</v>
      </c>
      <c r="O52" s="3">
        <f t="shared" si="76"/>
        <v>-1.4595836701730902</v>
      </c>
      <c r="P52" s="3">
        <f t="shared" si="76"/>
        <v>-1.2111419467228313</v>
      </c>
      <c r="Q52" s="3">
        <f t="shared" si="76"/>
        <v>-0.99761055748968985</v>
      </c>
      <c r="R52" s="3">
        <f t="shared" si="76"/>
        <v>-0.82927470501754419</v>
      </c>
      <c r="S52" s="3">
        <f t="shared" si="76"/>
        <v>-0.70930015749228303</v>
      </c>
      <c r="T52" s="3">
        <f t="shared" si="76"/>
        <v>-0.6378128440366071</v>
      </c>
      <c r="U52" s="3">
        <f>-(U8-T8)/$C$2</f>
        <v>-0.61410440777823538</v>
      </c>
      <c r="V52" s="5"/>
    </row>
    <row r="53" spans="5:22" x14ac:dyDescent="0.25">
      <c r="E53" s="24"/>
      <c r="F53" s="14">
        <v>1.2</v>
      </c>
      <c r="G53" s="12">
        <f>-(H9-G9)/$C$2</f>
        <v>-0.17711692148844049</v>
      </c>
      <c r="H53" s="3">
        <f t="shared" si="74"/>
        <v>-0.22262854097133911</v>
      </c>
      <c r="I53" s="3">
        <f t="shared" si="74"/>
        <v>-0.39681060440381888</v>
      </c>
      <c r="J53" s="3">
        <f t="shared" ref="J53:T58" si="77">-(K9-I9)/(2*$C$2)</f>
        <v>-0.86674397091836775</v>
      </c>
      <c r="K53" s="3">
        <f t="shared" si="77"/>
        <v>-2.2013236208820031</v>
      </c>
      <c r="L53" s="3">
        <f t="shared" si="77"/>
        <v>-3.141374147046585</v>
      </c>
      <c r="M53" s="3">
        <f t="shared" si="77"/>
        <v>-2.8569086699589228</v>
      </c>
      <c r="N53" s="3">
        <f t="shared" si="77"/>
        <v>-2.3898318590786825</v>
      </c>
      <c r="O53" s="3">
        <f t="shared" si="77"/>
        <v>-1.9473471173677992</v>
      </c>
      <c r="P53" s="3">
        <f t="shared" si="77"/>
        <v>-1.5698852262446295</v>
      </c>
      <c r="Q53" s="3">
        <f t="shared" si="77"/>
        <v>-1.2650386835782101</v>
      </c>
      <c r="R53" s="3">
        <f t="shared" si="77"/>
        <v>-1.0330946532102092</v>
      </c>
      <c r="S53" s="3">
        <f t="shared" si="77"/>
        <v>-0.87143821089255669</v>
      </c>
      <c r="T53" s="3">
        <f t="shared" si="77"/>
        <v>-0.77644160253018679</v>
      </c>
      <c r="U53" s="3">
        <f t="shared" ref="U53:U59" si="78">-(U9-T9)/$C$2</f>
        <v>-0.74514926434493756</v>
      </c>
      <c r="V53" s="5"/>
    </row>
    <row r="54" spans="5:22" x14ac:dyDescent="0.25">
      <c r="E54" s="24"/>
      <c r="F54" s="14">
        <v>1</v>
      </c>
      <c r="G54" s="10">
        <f t="shared" si="73"/>
        <v>0</v>
      </c>
      <c r="H54" s="10">
        <f t="shared" si="74"/>
        <v>0</v>
      </c>
      <c r="I54" s="10">
        <f t="shared" si="74"/>
        <v>0</v>
      </c>
      <c r="J54" s="10">
        <f t="shared" si="77"/>
        <v>0</v>
      </c>
      <c r="K54" s="10">
        <f t="shared" si="77"/>
        <v>-3.318558153438981</v>
      </c>
      <c r="L54" s="3">
        <f t="shared" si="77"/>
        <v>-5.5875399278288684</v>
      </c>
      <c r="M54" s="3">
        <f t="shared" si="77"/>
        <v>-3.9780686829803251</v>
      </c>
      <c r="N54" s="3">
        <f t="shared" si="77"/>
        <v>-3.0384538110862378</v>
      </c>
      <c r="O54" s="3">
        <f t="shared" si="77"/>
        <v>-2.3700877140764374</v>
      </c>
      <c r="P54" s="3">
        <f t="shared" si="77"/>
        <v>-1.8560131573280036</v>
      </c>
      <c r="Q54" s="3">
        <f t="shared" si="77"/>
        <v>-1.4595642972935441</v>
      </c>
      <c r="R54" s="3">
        <f t="shared" si="77"/>
        <v>-1.1666270131923273</v>
      </c>
      <c r="S54" s="3">
        <f t="shared" si="77"/>
        <v>-0.96691643009522377</v>
      </c>
      <c r="T54" s="3">
        <f t="shared" si="77"/>
        <v>-0.85136609056456258</v>
      </c>
      <c r="U54" s="3">
        <f t="shared" si="78"/>
        <v>-0.81360944423097603</v>
      </c>
      <c r="V54" s="5"/>
    </row>
    <row r="55" spans="5:22" x14ac:dyDescent="0.25">
      <c r="E55" s="24"/>
      <c r="F55" s="14">
        <v>0.8</v>
      </c>
      <c r="G55" s="6"/>
      <c r="H55" s="6"/>
      <c r="I55" s="6"/>
      <c r="J55" s="6"/>
      <c r="K55" s="6"/>
      <c r="L55" s="10">
        <f>-(M11-K11)/$C$2</f>
        <v>-5.008456125487144</v>
      </c>
      <c r="M55" s="3">
        <f t="shared" si="77"/>
        <v>-4.4293723232648237</v>
      </c>
      <c r="N55" s="3">
        <f t="shared" si="77"/>
        <v>-3.4158269884049819</v>
      </c>
      <c r="O55" s="3">
        <f t="shared" si="77"/>
        <v>-2.638536770650286</v>
      </c>
      <c r="P55" s="3">
        <f t="shared" si="77"/>
        <v>-2.0245153917386771</v>
      </c>
      <c r="Q55" s="3">
        <f t="shared" si="77"/>
        <v>-1.5505783350166125</v>
      </c>
      <c r="R55" s="3">
        <f t="shared" si="77"/>
        <v>-1.2069326720093221</v>
      </c>
      <c r="S55" s="3">
        <f t="shared" si="77"/>
        <v>-0.97823440549636986</v>
      </c>
      <c r="T55" s="3">
        <f t="shared" si="77"/>
        <v>-0.8484968851034469</v>
      </c>
      <c r="U55" s="3">
        <f t="shared" si="78"/>
        <v>-0.80655633114381509</v>
      </c>
      <c r="V55" s="5"/>
    </row>
    <row r="56" spans="5:22" x14ac:dyDescent="0.25">
      <c r="E56" s="24"/>
      <c r="F56" s="14">
        <v>0.6</v>
      </c>
      <c r="G56" s="6"/>
      <c r="H56" s="6"/>
      <c r="I56" s="6"/>
      <c r="J56" s="6"/>
      <c r="K56" s="6"/>
      <c r="L56" s="6"/>
      <c r="M56" s="10">
        <f>-(N12-L12)/$C$2</f>
        <v>-3.9931586859867663</v>
      </c>
      <c r="N56" s="3">
        <f t="shared" si="77"/>
        <v>-3.5569450488313081</v>
      </c>
      <c r="O56" s="3">
        <f t="shared" si="77"/>
        <v>-2.743716988538957</v>
      </c>
      <c r="P56" s="3">
        <f t="shared" si="77"/>
        <v>-2.0529333040243491</v>
      </c>
      <c r="Q56" s="3">
        <f t="shared" si="77"/>
        <v>-1.5113009789879455</v>
      </c>
      <c r="R56" s="3">
        <f t="shared" si="77"/>
        <v>-1.1322909341995691</v>
      </c>
      <c r="S56" s="3">
        <f t="shared" si="77"/>
        <v>-0.8905916345574949</v>
      </c>
      <c r="T56" s="3">
        <f t="shared" si="77"/>
        <v>-0.75783071294477367</v>
      </c>
      <c r="U56" s="3">
        <f t="shared" si="78"/>
        <v>-0.71562210984443819</v>
      </c>
      <c r="V56" s="5"/>
    </row>
    <row r="57" spans="5:22" x14ac:dyDescent="0.25">
      <c r="E57" s="24"/>
      <c r="F57" s="14">
        <v>0.4</v>
      </c>
      <c r="G57" s="6"/>
      <c r="H57" s="6"/>
      <c r="I57" s="6"/>
      <c r="J57" s="6"/>
      <c r="K57" s="6"/>
      <c r="L57" s="6"/>
      <c r="M57" s="6"/>
      <c r="N57" s="10">
        <f>-(O13-M13)/$C$2</f>
        <v>-3.1416989397723181</v>
      </c>
      <c r="O57" s="3">
        <f t="shared" si="77"/>
        <v>-2.7264528308214877</v>
      </c>
      <c r="P57" s="3">
        <f t="shared" si="77"/>
        <v>-1.9321998569226411</v>
      </c>
      <c r="Q57" s="3">
        <f t="shared" si="77"/>
        <v>-1.3094013427034605</v>
      </c>
      <c r="R57" s="3">
        <f t="shared" si="77"/>
        <v>-0.92033845114232959</v>
      </c>
      <c r="S57" s="3">
        <f t="shared" si="77"/>
        <v>-0.69401048541932353</v>
      </c>
      <c r="T57" s="3">
        <f t="shared" si="77"/>
        <v>-0.57661222204887008</v>
      </c>
      <c r="U57" s="3">
        <f t="shared" si="78"/>
        <v>-0.54027068211145557</v>
      </c>
      <c r="V57" s="5"/>
    </row>
    <row r="58" spans="5:22" x14ac:dyDescent="0.25">
      <c r="E58" s="24"/>
      <c r="F58" s="14">
        <v>0.2</v>
      </c>
      <c r="G58" s="6"/>
      <c r="H58" s="6"/>
      <c r="I58" s="6"/>
      <c r="J58" s="6"/>
      <c r="K58" s="6"/>
      <c r="L58" s="6"/>
      <c r="M58" s="6"/>
      <c r="N58" s="6"/>
      <c r="O58" s="10">
        <f>-(P14-O14)/$C$2</f>
        <v>-2.1832323904951014</v>
      </c>
      <c r="P58" s="3">
        <f t="shared" si="77"/>
        <v>-1.6400119502439132</v>
      </c>
      <c r="Q58" s="3">
        <f t="shared" si="77"/>
        <v>-0.87376608377770471</v>
      </c>
      <c r="R58" s="3">
        <f t="shared" si="77"/>
        <v>-0.54565104218835003</v>
      </c>
      <c r="S58" s="3">
        <f t="shared" si="77"/>
        <v>-0.38849963380827968</v>
      </c>
      <c r="T58" s="3">
        <f t="shared" si="77"/>
        <v>-0.31433700756773653</v>
      </c>
      <c r="U58" s="3">
        <f t="shared" si="78"/>
        <v>-0.29223617433292937</v>
      </c>
      <c r="V58" s="5"/>
    </row>
    <row r="59" spans="5:22" x14ac:dyDescent="0.25">
      <c r="E59" s="24"/>
      <c r="F59" s="14">
        <v>0</v>
      </c>
      <c r="G59" s="6"/>
      <c r="H59" s="6"/>
      <c r="I59" s="6"/>
      <c r="J59" s="6"/>
      <c r="K59" s="6"/>
      <c r="L59" s="6"/>
      <c r="M59" s="6"/>
      <c r="N59" s="6"/>
      <c r="O59" s="6"/>
      <c r="P59" s="10">
        <f>-(Q15-P15)/2*$C$2</f>
        <v>0</v>
      </c>
      <c r="Q59" s="10">
        <f t="shared" si="71"/>
        <v>0</v>
      </c>
      <c r="R59" s="10">
        <f t="shared" si="71"/>
        <v>0</v>
      </c>
      <c r="S59" s="10">
        <f t="shared" si="71"/>
        <v>0</v>
      </c>
      <c r="T59" s="10">
        <f t="shared" ref="T59" si="79">-(U15-S15)/2*$C$2</f>
        <v>0</v>
      </c>
      <c r="U59" s="10">
        <f t="shared" si="78"/>
        <v>0</v>
      </c>
      <c r="V59" s="5"/>
    </row>
    <row r="60" spans="5:22" x14ac:dyDescent="0.25">
      <c r="E60" s="24"/>
      <c r="F60" s="3"/>
      <c r="G60" s="14">
        <v>0</v>
      </c>
      <c r="H60" s="14">
        <v>0.2</v>
      </c>
      <c r="I60" s="14">
        <v>0.4</v>
      </c>
      <c r="J60" s="14">
        <v>0.6</v>
      </c>
      <c r="K60" s="14">
        <v>0.8</v>
      </c>
      <c r="L60" s="14">
        <v>1</v>
      </c>
      <c r="M60" s="14">
        <v>1.2</v>
      </c>
      <c r="N60" s="14">
        <v>1.4</v>
      </c>
      <c r="O60" s="14">
        <v>1.6</v>
      </c>
      <c r="P60" s="14">
        <v>1.8</v>
      </c>
      <c r="Q60" s="14">
        <v>2</v>
      </c>
      <c r="R60" s="14">
        <v>2.2000000000000002</v>
      </c>
      <c r="S60" s="14">
        <v>2.4</v>
      </c>
      <c r="T60" s="14">
        <v>2.6</v>
      </c>
      <c r="U60" s="15">
        <v>2.8</v>
      </c>
      <c r="V60" s="5"/>
    </row>
    <row r="63" spans="5:22" x14ac:dyDescent="0.25">
      <c r="E63" s="24" t="s">
        <v>10</v>
      </c>
      <c r="F63" s="14">
        <v>2</v>
      </c>
      <c r="G63" s="10">
        <f>(G34^2+G49^2)^0.5</f>
        <v>10</v>
      </c>
      <c r="H63" s="10">
        <f t="shared" ref="H63:U63" si="80">(H34^2+H49^2)^0.5</f>
        <v>9.8582767320585951</v>
      </c>
      <c r="I63" s="10">
        <f t="shared" si="80"/>
        <v>9.6756591468754838</v>
      </c>
      <c r="J63" s="10">
        <f t="shared" si="80"/>
        <v>9.4096348581159717</v>
      </c>
      <c r="K63" s="10">
        <f t="shared" si="80"/>
        <v>9.0239139486668396</v>
      </c>
      <c r="L63" s="10">
        <f t="shared" si="80"/>
        <v>8.5155650290532403</v>
      </c>
      <c r="M63" s="10">
        <f t="shared" si="80"/>
        <v>7.9485462306987031</v>
      </c>
      <c r="N63" s="10">
        <f t="shared" si="80"/>
        <v>7.3892542435209752</v>
      </c>
      <c r="O63" s="10">
        <f t="shared" si="80"/>
        <v>6.8790489786647679</v>
      </c>
      <c r="P63" s="10">
        <f t="shared" si="80"/>
        <v>6.4349676851954385</v>
      </c>
      <c r="Q63" s="10">
        <f t="shared" si="80"/>
        <v>6.0578555545826518</v>
      </c>
      <c r="R63" s="10">
        <f t="shared" si="80"/>
        <v>5.7394572131751609</v>
      </c>
      <c r="S63" s="10">
        <f t="shared" si="80"/>
        <v>5.4669808797843089</v>
      </c>
      <c r="T63" s="10">
        <f t="shared" si="80"/>
        <v>5.2256558895802563</v>
      </c>
      <c r="U63" s="10">
        <f t="shared" si="80"/>
        <v>5</v>
      </c>
    </row>
    <row r="64" spans="5:22" x14ac:dyDescent="0.25">
      <c r="E64" s="24"/>
      <c r="F64" s="14">
        <v>1.8</v>
      </c>
      <c r="G64" s="3">
        <f t="shared" ref="G64:U69" si="81">(G35^2+G50^2)^0.5</f>
        <v>10.001004223810526</v>
      </c>
      <c r="H64" s="3">
        <f t="shared" si="81"/>
        <v>9.8800549064911767</v>
      </c>
      <c r="I64" s="3">
        <f t="shared" si="81"/>
        <v>9.7199513276894312</v>
      </c>
      <c r="J64" s="3">
        <f t="shared" si="81"/>
        <v>9.4750886237418488</v>
      </c>
      <c r="K64" s="3">
        <f t="shared" si="81"/>
        <v>9.096219389677227</v>
      </c>
      <c r="L64" s="3">
        <f t="shared" si="81"/>
        <v>8.5618000094024804</v>
      </c>
      <c r="M64" s="3">
        <f t="shared" si="81"/>
        <v>7.9646173282865336</v>
      </c>
      <c r="N64" s="3">
        <f t="shared" si="81"/>
        <v>7.3840992999604893</v>
      </c>
      <c r="O64" s="3">
        <f t="shared" si="81"/>
        <v>6.8625945249971032</v>
      </c>
      <c r="P64" s="3">
        <f t="shared" si="81"/>
        <v>6.4146376036102675</v>
      </c>
      <c r="Q64" s="3">
        <f t="shared" si="81"/>
        <v>6.0385204972414863</v>
      </c>
      <c r="R64" s="3">
        <f t="shared" si="81"/>
        <v>5.7241254465840461</v>
      </c>
      <c r="S64" s="3">
        <f t="shared" si="81"/>
        <v>5.4574551480363889</v>
      </c>
      <c r="T64" s="3">
        <f t="shared" si="81"/>
        <v>5.2230429170659765</v>
      </c>
      <c r="U64" s="3">
        <f t="shared" si="81"/>
        <v>5.0050894677819953</v>
      </c>
    </row>
    <row r="65" spans="5:21" x14ac:dyDescent="0.25">
      <c r="E65" s="24"/>
      <c r="F65" s="14">
        <v>1.6</v>
      </c>
      <c r="G65" s="3">
        <f t="shared" si="81"/>
        <v>10.002941146421891</v>
      </c>
      <c r="H65" s="3">
        <f t="shared" si="81"/>
        <v>9.9432741282437984</v>
      </c>
      <c r="I65" s="3">
        <f t="shared" si="81"/>
        <v>9.8540853510553479</v>
      </c>
      <c r="J65" s="3">
        <f t="shared" si="81"/>
        <v>9.6863560182901018</v>
      </c>
      <c r="K65" s="3">
        <f t="shared" si="81"/>
        <v>9.3484487961183831</v>
      </c>
      <c r="L65" s="3">
        <f t="shared" si="81"/>
        <v>8.7091297824722496</v>
      </c>
      <c r="M65" s="3">
        <f t="shared" si="81"/>
        <v>8.0080173719535708</v>
      </c>
      <c r="N65" s="3">
        <f t="shared" si="81"/>
        <v>7.361372232325496</v>
      </c>
      <c r="O65" s="3">
        <f t="shared" si="81"/>
        <v>6.8071986101021134</v>
      </c>
      <c r="P65" s="3">
        <f t="shared" si="81"/>
        <v>6.3493256281686499</v>
      </c>
      <c r="Q65" s="3">
        <f t="shared" si="81"/>
        <v>5.9775369945081174</v>
      </c>
      <c r="R65" s="3">
        <f t="shared" si="81"/>
        <v>5.6760370576863828</v>
      </c>
      <c r="S65" s="3">
        <f t="shared" si="81"/>
        <v>5.4272808360839822</v>
      </c>
      <c r="T65" s="3">
        <f t="shared" si="81"/>
        <v>5.2138020978652158</v>
      </c>
      <c r="U65" s="3">
        <f t="shared" si="81"/>
        <v>5.0189425722231347</v>
      </c>
    </row>
    <row r="66" spans="5:21" x14ac:dyDescent="0.25">
      <c r="E66" s="24"/>
      <c r="F66" s="14">
        <v>1.4</v>
      </c>
      <c r="G66" s="3">
        <f t="shared" si="81"/>
        <v>10.003463391349966</v>
      </c>
      <c r="H66" s="3">
        <f t="shared" si="81"/>
        <v>10.037711418231043</v>
      </c>
      <c r="I66" s="3">
        <f t="shared" si="81"/>
        <v>10.072321218381564</v>
      </c>
      <c r="J66" s="3">
        <f t="shared" si="81"/>
        <v>10.08265240286468</v>
      </c>
      <c r="K66" s="3">
        <f t="shared" si="81"/>
        <v>9.9360348141889752</v>
      </c>
      <c r="L66" s="3">
        <f t="shared" si="81"/>
        <v>8.9760965366148877</v>
      </c>
      <c r="M66" s="3">
        <f t="shared" si="81"/>
        <v>8.0563024282744227</v>
      </c>
      <c r="N66" s="3">
        <f t="shared" si="81"/>
        <v>7.2964931379883629</v>
      </c>
      <c r="O66" s="3">
        <f t="shared" si="81"/>
        <v>6.6944865908170215</v>
      </c>
      <c r="P66" s="3">
        <f t="shared" si="81"/>
        <v>6.2264963548718457</v>
      </c>
      <c r="Q66" s="3">
        <f t="shared" si="81"/>
        <v>5.866482976185786</v>
      </c>
      <c r="R66" s="3">
        <f t="shared" si="81"/>
        <v>5.5893771277191746</v>
      </c>
      <c r="S66" s="3">
        <f t="shared" si="81"/>
        <v>5.3720684392071112</v>
      </c>
      <c r="T66" s="3">
        <f t="shared" si="81"/>
        <v>5.1940626425996834</v>
      </c>
      <c r="U66" s="3">
        <f t="shared" si="81"/>
        <v>5.0375712623895117</v>
      </c>
    </row>
    <row r="67" spans="5:21" x14ac:dyDescent="0.25">
      <c r="E67" s="24"/>
      <c r="F67" s="14">
        <v>1.2</v>
      </c>
      <c r="G67" s="3">
        <f t="shared" si="81"/>
        <v>10.001568397200389</v>
      </c>
      <c r="H67" s="3">
        <f t="shared" si="81"/>
        <v>10.134050989765738</v>
      </c>
      <c r="I67" s="3">
        <f t="shared" si="81"/>
        <v>10.324215152524392</v>
      </c>
      <c r="J67" s="3">
        <f t="shared" si="81"/>
        <v>10.66475448869279</v>
      </c>
      <c r="K67" s="3">
        <f t="shared" si="81"/>
        <v>11.399983853472811</v>
      </c>
      <c r="L67" s="3">
        <f t="shared" si="81"/>
        <v>9.3340324476879317</v>
      </c>
      <c r="M67" s="3">
        <f t="shared" si="81"/>
        <v>8.042165655598744</v>
      </c>
      <c r="N67" s="3">
        <f t="shared" si="81"/>
        <v>7.1415587960896412</v>
      </c>
      <c r="O67" s="3">
        <f t="shared" si="81"/>
        <v>6.4945985650423408</v>
      </c>
      <c r="P67" s="3">
        <f t="shared" si="81"/>
        <v>6.0273588195092493</v>
      </c>
      <c r="Q67" s="3">
        <f t="shared" si="81"/>
        <v>5.6932306600188793</v>
      </c>
      <c r="R67" s="3">
        <f t="shared" si="81"/>
        <v>5.4560686325818368</v>
      </c>
      <c r="S67" s="3">
        <f t="shared" si="81"/>
        <v>5.2858813843848029</v>
      </c>
      <c r="T67" s="3">
        <f t="shared" si="81"/>
        <v>5.1585208450965716</v>
      </c>
      <c r="U67" s="3">
        <f t="shared" si="81"/>
        <v>5.0552198197658829</v>
      </c>
    </row>
    <row r="68" spans="5:21" x14ac:dyDescent="0.25">
      <c r="E68" s="24"/>
      <c r="F68" s="14">
        <v>1</v>
      </c>
      <c r="G68" s="10">
        <f t="shared" si="81"/>
        <v>10</v>
      </c>
      <c r="H68" s="10">
        <f t="shared" si="81"/>
        <v>10.177116921488439</v>
      </c>
      <c r="I68" s="10">
        <f t="shared" si="81"/>
        <v>10.445257081942678</v>
      </c>
      <c r="J68" s="10">
        <f t="shared" si="81"/>
        <v>10.970738130296077</v>
      </c>
      <c r="K68" s="10">
        <f t="shared" si="81"/>
        <v>12.622783313199516</v>
      </c>
      <c r="L68" s="3">
        <f t="shared" si="81"/>
        <v>9.5029388556672068</v>
      </c>
      <c r="M68" s="3">
        <f t="shared" si="81"/>
        <v>7.8147989655163421</v>
      </c>
      <c r="N68" s="3">
        <f t="shared" si="81"/>
        <v>6.8275909533825523</v>
      </c>
      <c r="O68" s="3">
        <f t="shared" si="81"/>
        <v>6.1735956758367996</v>
      </c>
      <c r="P68" s="3">
        <f t="shared" si="81"/>
        <v>5.7318531864615645</v>
      </c>
      <c r="Q68" s="3">
        <f t="shared" si="81"/>
        <v>5.445156055368618</v>
      </c>
      <c r="R68" s="3">
        <f t="shared" si="81"/>
        <v>5.2682940353726968</v>
      </c>
      <c r="S68" s="3">
        <f t="shared" si="81"/>
        <v>5.1633973478967699</v>
      </c>
      <c r="T68" s="3">
        <f t="shared" si="81"/>
        <v>5.1022350260567944</v>
      </c>
      <c r="U68" s="3">
        <f t="shared" si="81"/>
        <v>5.0657635483450898</v>
      </c>
    </row>
    <row r="69" spans="5:21" x14ac:dyDescent="0.25">
      <c r="E69" s="24"/>
      <c r="F69" s="14">
        <v>0.8</v>
      </c>
      <c r="G69" s="19"/>
      <c r="H69" s="19"/>
      <c r="I69" s="19"/>
      <c r="J69" s="19"/>
      <c r="K69" s="19"/>
      <c r="L69" s="10">
        <f t="shared" si="81"/>
        <v>8.3148028017479199</v>
      </c>
      <c r="M69" s="3">
        <f t="shared" ref="M69" si="82">(M40^2+M55^2)^0.5</f>
        <v>7.1302132943682874</v>
      </c>
      <c r="N69" s="3">
        <f t="shared" ref="N69" si="83">(N40^2+N55^2)^0.5</f>
        <v>6.3054244462435882</v>
      </c>
      <c r="O69" s="3">
        <f t="shared" ref="O69" si="84">(O40^2+O55^2)^0.5</f>
        <v>5.7146418008930278</v>
      </c>
      <c r="P69" s="3">
        <f t="shared" ref="P69:U69" si="85">(P40^2+P55^2)^0.5</f>
        <v>5.3261861626797611</v>
      </c>
      <c r="Q69" s="3">
        <f t="shared" si="85"/>
        <v>5.1129179258338997</v>
      </c>
      <c r="R69" s="3">
        <f t="shared" si="85"/>
        <v>5.0218728144542686</v>
      </c>
      <c r="S69" s="3">
        <f t="shared" si="85"/>
        <v>5.0030328444619894</v>
      </c>
      <c r="T69" s="3">
        <f t="shared" si="85"/>
        <v>5.0231873020546036</v>
      </c>
      <c r="U69" s="3">
        <f t="shared" si="85"/>
        <v>5.0646355362758504</v>
      </c>
    </row>
    <row r="70" spans="5:21" x14ac:dyDescent="0.25">
      <c r="E70" s="24"/>
      <c r="F70" s="14">
        <v>0.6</v>
      </c>
      <c r="G70" s="19"/>
      <c r="H70" s="19"/>
      <c r="I70" s="19"/>
      <c r="J70" s="19"/>
      <c r="K70" s="19"/>
      <c r="L70" s="19"/>
      <c r="M70" s="10">
        <f t="shared" ref="M70" si="86">(M41^2+M56^2)^0.5</f>
        <v>6.4054624386066967</v>
      </c>
      <c r="N70" s="3">
        <f t="shared" ref="N70" si="87">(N41^2+N56^2)^0.5</f>
        <v>5.6807743537751945</v>
      </c>
      <c r="O70" s="3">
        <f t="shared" ref="O70" si="88">(O41^2+O56^2)^0.5</f>
        <v>5.1423313877346759</v>
      </c>
      <c r="P70" s="3">
        <f t="shared" ref="P70:U70" si="89">(P41^2+P56^2)^0.5</f>
        <v>4.8023720842024691</v>
      </c>
      <c r="Q70" s="3">
        <f t="shared" si="89"/>
        <v>4.6916031880009319</v>
      </c>
      <c r="R70" s="3">
        <f t="shared" si="89"/>
        <v>4.7204459866871282</v>
      </c>
      <c r="S70" s="3">
        <f t="shared" si="89"/>
        <v>4.8112605519761988</v>
      </c>
      <c r="T70" s="3">
        <f t="shared" si="89"/>
        <v>4.9255056751607471</v>
      </c>
      <c r="U70" s="3">
        <f t="shared" si="89"/>
        <v>5.0509518908912812</v>
      </c>
    </row>
    <row r="71" spans="5:21" x14ac:dyDescent="0.25">
      <c r="E71" s="24"/>
      <c r="F71" s="14">
        <v>0.4</v>
      </c>
      <c r="G71" s="19"/>
      <c r="H71" s="19"/>
      <c r="I71" s="19"/>
      <c r="J71" s="19"/>
      <c r="K71" s="19"/>
      <c r="L71" s="19"/>
      <c r="M71" s="19"/>
      <c r="N71" s="10">
        <f t="shared" ref="N71" si="90">(N42^2+N57^2)^0.5</f>
        <v>5.080904301365857</v>
      </c>
      <c r="O71" s="3">
        <f t="shared" ref="O71" si="91">(O42^2+O57^2)^0.5</f>
        <v>4.4816741424494557</v>
      </c>
      <c r="P71" s="3">
        <f t="shared" ref="P71:U71" si="92">(P42^2+P57^2)^0.5</f>
        <v>4.1287120296783923</v>
      </c>
      <c r="Q71" s="3">
        <f t="shared" si="92"/>
        <v>4.1802357745537675</v>
      </c>
      <c r="R71" s="3">
        <f t="shared" si="92"/>
        <v>4.3839094608425713</v>
      </c>
      <c r="S71" s="3">
        <f t="shared" si="92"/>
        <v>4.6090563206377331</v>
      </c>
      <c r="T71" s="3">
        <f t="shared" si="92"/>
        <v>4.8229001533989715</v>
      </c>
      <c r="U71" s="3">
        <f t="shared" si="92"/>
        <v>5.0291045336072679</v>
      </c>
    </row>
    <row r="72" spans="5:21" x14ac:dyDescent="0.25">
      <c r="E72" s="24"/>
      <c r="F72" s="14">
        <v>0.2</v>
      </c>
      <c r="G72" s="19"/>
      <c r="H72" s="19"/>
      <c r="I72" s="19"/>
      <c r="J72" s="19"/>
      <c r="K72" s="19"/>
      <c r="L72" s="19"/>
      <c r="M72" s="19"/>
      <c r="N72" s="19"/>
      <c r="O72" s="10">
        <f t="shared" ref="O72" si="93">(O43^2+O58^2)^0.5</f>
        <v>3.8258039546052882</v>
      </c>
      <c r="P72" s="3">
        <f t="shared" ref="P72:U72" si="94">(P43^2+P58^2)^0.5</f>
        <v>3.1816951827032942</v>
      </c>
      <c r="Q72" s="3">
        <f t="shared" si="94"/>
        <v>3.6103769547258935</v>
      </c>
      <c r="R72" s="3">
        <f t="shared" si="94"/>
        <v>4.0725733842129817</v>
      </c>
      <c r="S72" s="3">
        <f t="shared" si="94"/>
        <v>4.4404156786945741</v>
      </c>
      <c r="T72" s="3">
        <f t="shared" si="94"/>
        <v>4.7402982444416564</v>
      </c>
      <c r="U72" s="3">
        <f t="shared" si="94"/>
        <v>5.0085329170914656</v>
      </c>
    </row>
    <row r="73" spans="5:21" x14ac:dyDescent="0.25">
      <c r="E73" s="24"/>
      <c r="F73" s="14">
        <v>0</v>
      </c>
      <c r="G73" s="19"/>
      <c r="H73" s="19"/>
      <c r="I73" s="19"/>
      <c r="J73" s="19"/>
      <c r="K73" s="19"/>
      <c r="L73" s="19"/>
      <c r="M73" s="19"/>
      <c r="N73" s="19"/>
      <c r="O73" s="19"/>
      <c r="P73" s="10">
        <f t="shared" ref="P73:U73" si="95">(P44^2+P59^2)^0.5</f>
        <v>2.1832323904951014</v>
      </c>
      <c r="Q73" s="10">
        <f t="shared" si="95"/>
        <v>3.2800239004878264</v>
      </c>
      <c r="R73" s="10">
        <f t="shared" si="95"/>
        <v>3.9307645580505111</v>
      </c>
      <c r="S73" s="10">
        <f t="shared" si="95"/>
        <v>4.3713259848645265</v>
      </c>
      <c r="T73" s="10">
        <f t="shared" si="95"/>
        <v>4.7077638256670706</v>
      </c>
      <c r="U73" s="10">
        <f t="shared" si="95"/>
        <v>5</v>
      </c>
    </row>
    <row r="74" spans="5:21" x14ac:dyDescent="0.25">
      <c r="E74" s="24"/>
      <c r="F74" s="3"/>
      <c r="G74" s="14">
        <v>0</v>
      </c>
      <c r="H74" s="14">
        <v>0.2</v>
      </c>
      <c r="I74" s="14">
        <v>0.4</v>
      </c>
      <c r="J74" s="14">
        <v>0.6</v>
      </c>
      <c r="K74" s="14">
        <v>0.8</v>
      </c>
      <c r="L74" s="14">
        <v>1</v>
      </c>
      <c r="M74" s="14">
        <v>1.2</v>
      </c>
      <c r="N74" s="14">
        <v>1.4</v>
      </c>
      <c r="O74" s="14">
        <v>1.6</v>
      </c>
      <c r="P74" s="14">
        <v>1.8</v>
      </c>
      <c r="Q74" s="14">
        <v>2</v>
      </c>
      <c r="R74" s="14">
        <v>2.2000000000000002</v>
      </c>
      <c r="S74" s="14">
        <v>2.4</v>
      </c>
      <c r="T74" s="14">
        <v>2.6</v>
      </c>
      <c r="U74" s="15">
        <v>2.8</v>
      </c>
    </row>
  </sheetData>
  <mergeCells count="5">
    <mergeCell ref="E34:E45"/>
    <mergeCell ref="E49:E60"/>
    <mergeCell ref="E63:E74"/>
    <mergeCell ref="X4:Y4"/>
    <mergeCell ref="X34:Y34"/>
  </mergeCells>
  <conditionalFormatting sqref="G5:U15"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ignoredErrors>
    <ignoredError sqref="H49 AA10:AA11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</dc:creator>
  <cp:lastModifiedBy>Илья</cp:lastModifiedBy>
  <dcterms:created xsi:type="dcterms:W3CDTF">2021-11-11T05:45:47Z</dcterms:created>
  <dcterms:modified xsi:type="dcterms:W3CDTF">2021-11-12T13:14:41Z</dcterms:modified>
</cp:coreProperties>
</file>