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Илья\Desktop\3 курс 5 семестр\Механика сплошной среды\Практика\"/>
    </mc:Choice>
  </mc:AlternateContent>
  <bookViews>
    <workbookView xWindow="0" yWindow="0" windowWidth="28800" windowHeight="124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8" i="1" l="1"/>
  <c r="G5" i="1"/>
  <c r="U8" i="1"/>
  <c r="O8" i="1"/>
  <c r="Q7" i="1"/>
  <c r="AG8" i="1"/>
  <c r="L8" i="1"/>
  <c r="AJ7" i="1"/>
  <c r="J8" i="1"/>
  <c r="AB8" i="1"/>
  <c r="Z8" i="1"/>
  <c r="AK5" i="1"/>
  <c r="G8" i="1"/>
  <c r="AJ15" i="1"/>
  <c r="F15" i="1"/>
  <c r="C5" i="1"/>
  <c r="G14" i="1" s="1"/>
  <c r="H14" i="1" s="1"/>
  <c r="I14" i="1" s="1"/>
  <c r="J14" i="1" s="1"/>
  <c r="K14" i="1" s="1"/>
  <c r="L14" i="1" s="1"/>
  <c r="M14" i="1" s="1"/>
  <c r="N14" i="1" s="1"/>
  <c r="O14" i="1" s="1"/>
  <c r="P14" i="1" s="1"/>
  <c r="Q14" i="1" s="1"/>
  <c r="R14" i="1" s="1"/>
  <c r="S14" i="1" s="1"/>
  <c r="T14" i="1" s="1"/>
  <c r="U14" i="1" s="1"/>
  <c r="V14" i="1" s="1"/>
  <c r="W14" i="1" s="1"/>
  <c r="X14" i="1" s="1"/>
  <c r="Y14" i="1" s="1"/>
  <c r="Z14" i="1" s="1"/>
  <c r="AA14" i="1" s="1"/>
  <c r="AB14" i="1" s="1"/>
  <c r="AC14" i="1" s="1"/>
  <c r="AD14" i="1" s="1"/>
  <c r="AE14" i="1" s="1"/>
  <c r="AF14" i="1" s="1"/>
  <c r="AG14" i="1" s="1"/>
  <c r="AH14" i="1" s="1"/>
  <c r="AI14" i="1" s="1"/>
  <c r="AJ14" i="1" s="1"/>
  <c r="T8" i="1" l="1"/>
  <c r="Y8" i="1"/>
  <c r="AE7" i="1"/>
  <c r="M7" i="1"/>
  <c r="AH8" i="1"/>
  <c r="AA8" i="1"/>
  <c r="AD8" i="1"/>
  <c r="I8" i="1"/>
  <c r="AI8" i="1"/>
  <c r="AJ8" i="1"/>
  <c r="K8" i="1"/>
  <c r="V8" i="1"/>
  <c r="I7" i="1"/>
  <c r="S8" i="1"/>
  <c r="R8" i="1"/>
  <c r="N8" i="1"/>
  <c r="AC8" i="1"/>
  <c r="M8" i="1"/>
  <c r="W8" i="1"/>
  <c r="Q8" i="1"/>
  <c r="AF8" i="1"/>
  <c r="X8" i="1"/>
  <c r="P8" i="1"/>
  <c r="U7" i="1"/>
  <c r="Y7" i="1"/>
  <c r="AE8" i="1"/>
  <c r="AC7" i="1"/>
  <c r="AI7" i="1"/>
  <c r="AH7" i="1"/>
  <c r="AG7" i="1"/>
  <c r="S7" i="1"/>
  <c r="Z7" i="1"/>
  <c r="R7" i="1"/>
  <c r="J7" i="1"/>
  <c r="AA7" i="1"/>
  <c r="K7" i="1"/>
  <c r="N7" i="1"/>
  <c r="V7" i="1"/>
  <c r="AD7" i="1"/>
  <c r="P7" i="1"/>
  <c r="X7" i="1"/>
  <c r="W7" i="1"/>
  <c r="H8" i="1"/>
  <c r="O7" i="1"/>
  <c r="AF7" i="1"/>
  <c r="AB7" i="1"/>
  <c r="L7" i="1"/>
  <c r="T7" i="1"/>
  <c r="H4" i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C6" i="1"/>
  <c r="H7" i="1" l="1"/>
  <c r="K17" i="1"/>
  <c r="S17" i="1"/>
  <c r="L17" i="1"/>
  <c r="T17" i="1"/>
  <c r="AB17" i="1"/>
  <c r="G17" i="1"/>
  <c r="V17" i="1"/>
  <c r="H17" i="1"/>
  <c r="X17" i="1"/>
  <c r="Y17" i="1"/>
  <c r="J17" i="1"/>
  <c r="Z17" i="1"/>
  <c r="AH17" i="1"/>
  <c r="AI17" i="1"/>
  <c r="M17" i="1"/>
  <c r="U17" i="1"/>
  <c r="AC17" i="1"/>
  <c r="N17" i="1"/>
  <c r="P17" i="1"/>
  <c r="AD17" i="1"/>
  <c r="O17" i="1"/>
  <c r="W17" i="1"/>
  <c r="AE17" i="1"/>
  <c r="AF17" i="1"/>
  <c r="Q17" i="1"/>
  <c r="AG17" i="1"/>
  <c r="R17" i="1"/>
  <c r="AA17" i="1"/>
  <c r="I17" i="1"/>
</calcChain>
</file>

<file path=xl/sharedStrings.xml><?xml version="1.0" encoding="utf-8"?>
<sst xmlns="http://schemas.openxmlformats.org/spreadsheetml/2006/main" count="18" uniqueCount="13">
  <si>
    <t>L</t>
  </si>
  <si>
    <t>dx</t>
  </si>
  <si>
    <t>dt</t>
  </si>
  <si>
    <t>t</t>
  </si>
  <si>
    <t>Cp</t>
  </si>
  <si>
    <t>lamda</t>
  </si>
  <si>
    <t>ro</t>
  </si>
  <si>
    <t>T</t>
  </si>
  <si>
    <t>T_start</t>
  </si>
  <si>
    <t>T_end</t>
  </si>
  <si>
    <t>T_iter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</si>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</sst>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7" formatCode="0.0000"/>
    <numFmt numFmtId="168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168" fontId="0" fillId="0" borderId="0" xfId="0" applyNumberFormat="1"/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1" xfId="0" applyBorder="1"/>
    <xf numFmtId="168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Лист1!$F$14:$AJ$14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310432"/>
        <c:axId val="944312608"/>
      </c:scatterChart>
      <c:valAx>
        <c:axId val="94431043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44312608"/>
        <c:crosses val="autoZero"/>
        <c:crossBetween val="midCat"/>
      </c:valAx>
      <c:valAx>
        <c:axId val="944312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44310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Лист1!$G$4:$AK$4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Лист1!$G$5:$AK$5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376896"/>
        <c:axId val="953380160"/>
      </c:scatterChart>
      <c:valAx>
        <c:axId val="95337689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53380160"/>
        <c:crosses val="autoZero"/>
        <c:crossBetween val="midCat"/>
      </c:valAx>
      <c:valAx>
        <c:axId val="953380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533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304799</xdr:colOff>
      <xdr:row>21</xdr:row>
      <xdr:rowOff>161926</xdr:rowOff>
    </xdr:from>
    <xdr:to>
      <xdr:col>10</xdr:col>
      <xdr:colOff>9524</xdr:colOff>
      <xdr:row>42</xdr:row>
      <xdr:rowOff>166688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247649</xdr:colOff>
      <xdr:row>21</xdr:row>
      <xdr:rowOff>152400</xdr:rowOff>
    </xdr:from>
    <xdr:to>
      <xdr:col>28</xdr:col>
      <xdr:colOff>38100</xdr:colOff>
      <xdr:row>43</xdr:row>
      <xdr:rowOff>19050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0.01852</cdr:y>
    </cdr:from>
    <cdr:to>
      <cdr:x>0.12049</cdr:x>
      <cdr:y>0.11574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50800" y="50800"/>
              <a:ext cx="500064" cy="2666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400" b="1"/>
            </a:p>
          </cdr:txBody>
        </cdr:sp>
      </mc:Choice>
      <mc:Fallback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50800" y="50800"/>
              <a:ext cx="500064" cy="2666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1" i="0">
                  <a:latin typeface="Cambria Math" panose="02040503050406030204" pitchFamily="18" charset="0"/>
                </a:rPr>
                <a:t>𝑻, (𝑪)</a:t>
              </a:r>
              <a:endParaRPr lang="ru-RU" sz="1400" b="1"/>
            </a:p>
          </cdr:txBody>
        </cdr:sp>
      </mc:Fallback>
    </mc:AlternateContent>
  </cdr:relSizeAnchor>
  <cdr:relSizeAnchor xmlns:cdr="http://schemas.openxmlformats.org/drawingml/2006/chartDrawing">
    <cdr:from>
      <cdr:x>0.86806</cdr:x>
      <cdr:y>0.92919</cdr:y>
    </cdr:from>
    <cdr:to>
      <cdr:x>0.97744</cdr:x>
      <cdr:y>0.9893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TextBox 4"/>
            <cdr:cNvSpPr txBox="1"/>
          </cdr:nvSpPr>
          <cdr:spPr>
            <a:xfrm xmlns:a="http://schemas.openxmlformats.org/drawingml/2006/main">
              <a:off x="3398262" y="3721652"/>
              <a:ext cx="428180" cy="24074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</m:oMath>
              </a14:m>
              <a:r>
                <a:rPr lang="en-US" sz="1400" b="1"/>
                <a:t>]</a:t>
              </a:r>
              <a:endParaRPr lang="ru-RU" sz="1400" b="1"/>
            </a:p>
          </cdr:txBody>
        </cdr:sp>
      </mc:Choice>
      <mc:Fallback>
        <cdr:sp macro="" textlink="">
          <cdr:nvSpPr>
            <cdr:cNvPr id="3" name="TextBox 4"/>
            <cdr:cNvSpPr txBox="1"/>
          </cdr:nvSpPr>
          <cdr:spPr>
            <a:xfrm xmlns:a="http://schemas.openxmlformats.org/drawingml/2006/main">
              <a:off x="3398262" y="3721652"/>
              <a:ext cx="428180" cy="24074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 [𝒎</a:t>
              </a:r>
              <a:r>
                <a:rPr lang="en-US" sz="1400" b="1"/>
                <a:t>]</a:t>
              </a:r>
              <a:endParaRPr lang="ru-RU" sz="1400" b="1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0.86499</cdr:x>
      <cdr:y>0.93114</cdr:y>
    </cdr:from>
    <cdr:to>
      <cdr:x>0.96534</cdr:x>
      <cdr:y>0.99433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4"/>
            <cdr:cNvSpPr txBox="1"/>
          </cdr:nvSpPr>
          <cdr:spPr>
            <a:xfrm xmlns:a="http://schemas.openxmlformats.org/drawingml/2006/main">
              <a:off x="3608716" y="3778234"/>
              <a:ext cx="418623" cy="25639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</m:oMath>
              </a14:m>
              <a:r>
                <a:rPr lang="en-US" sz="1400" b="1"/>
                <a:t>]</a:t>
              </a:r>
              <a:endParaRPr lang="ru-RU" sz="1400" b="1"/>
            </a:p>
          </cdr:txBody>
        </cdr:sp>
      </mc:Choice>
      <mc:Fallback>
        <cdr:sp macro="" textlink="">
          <cdr:nvSpPr>
            <cdr:cNvPr id="2" name="TextBox 4"/>
            <cdr:cNvSpPr txBox="1"/>
          </cdr:nvSpPr>
          <cdr:spPr>
            <a:xfrm xmlns:a="http://schemas.openxmlformats.org/drawingml/2006/main">
              <a:off x="3608716" y="3778234"/>
              <a:ext cx="418623" cy="25639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 [𝒎</a:t>
              </a:r>
              <a:r>
                <a:rPr lang="en-US" sz="1400" b="1"/>
                <a:t>]</a:t>
              </a:r>
              <a:endParaRPr lang="ru-RU" sz="1400" b="1"/>
            </a:p>
          </cdr:txBody>
        </cdr:sp>
      </mc:Fallback>
    </mc:AlternateContent>
  </cdr:relSizeAnchor>
  <cdr:relSizeAnchor xmlns:cdr="http://schemas.openxmlformats.org/drawingml/2006/chartDrawing">
    <cdr:from>
      <cdr:x>0.0119</cdr:x>
      <cdr:y>0.01333</cdr:y>
    </cdr:from>
    <cdr:to>
      <cdr:x>0.11225</cdr:x>
      <cdr:y>0.11554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50800" y="50800"/>
              <a:ext cx="428179" cy="3893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400" b="1"/>
            </a:p>
          </cdr:txBody>
        </cdr:sp>
      </mc:Choice>
      <mc:Fallback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50800" y="50800"/>
              <a:ext cx="428179" cy="3893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1" i="0">
                  <a:latin typeface="Cambria Math" panose="02040503050406030204" pitchFamily="18" charset="0"/>
                </a:rPr>
                <a:t>𝑻, (𝑪)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U18"/>
  <sheetViews>
    <sheetView tabSelected="1" workbookViewId="0">
      <selection activeCell="C3" sqref="C3"/>
    </sheetView>
  </sheetViews>
  <sheetFormatPr defaultRowHeight="15" x14ac:dyDescent="0.25"/>
  <cols>
    <col min="3" max="3" width="9.5703125" customWidth="1"/>
    <col min="6" max="6" width="6.5703125" bestFit="1" customWidth="1"/>
    <col min="7" max="7" width="9" bestFit="1" customWidth="1"/>
    <col min="8" max="36" width="6.5703125" bestFit="1" customWidth="1"/>
  </cols>
  <sheetData>
    <row r="3" spans="2:47" x14ac:dyDescent="0.25">
      <c r="G3" s="3">
        <v>1</v>
      </c>
      <c r="H3" s="3">
        <v>2</v>
      </c>
      <c r="I3" s="3">
        <v>3</v>
      </c>
      <c r="J3" s="3">
        <v>4</v>
      </c>
      <c r="K3" s="3">
        <v>5</v>
      </c>
      <c r="L3" s="3">
        <v>6</v>
      </c>
      <c r="M3" s="3">
        <v>7</v>
      </c>
      <c r="N3" s="3">
        <v>8</v>
      </c>
      <c r="O3" s="3">
        <v>9</v>
      </c>
      <c r="P3" s="3">
        <v>10</v>
      </c>
      <c r="Q3" s="3">
        <v>11</v>
      </c>
      <c r="R3" s="3">
        <v>12</v>
      </c>
      <c r="S3" s="3">
        <v>13</v>
      </c>
      <c r="T3" s="3">
        <v>14</v>
      </c>
      <c r="U3" s="3">
        <v>15</v>
      </c>
      <c r="V3" s="3">
        <v>16</v>
      </c>
      <c r="W3" s="3">
        <v>17</v>
      </c>
      <c r="X3" s="3">
        <v>18</v>
      </c>
      <c r="Y3" s="3">
        <v>19</v>
      </c>
      <c r="Z3" s="3">
        <v>20</v>
      </c>
      <c r="AA3" s="3">
        <v>21</v>
      </c>
      <c r="AB3" s="3">
        <v>22</v>
      </c>
      <c r="AC3" s="3">
        <v>23</v>
      </c>
      <c r="AD3" s="3">
        <v>24</v>
      </c>
      <c r="AE3" s="3">
        <v>25</v>
      </c>
      <c r="AF3" s="3">
        <v>26</v>
      </c>
      <c r="AG3" s="3">
        <v>27</v>
      </c>
      <c r="AH3" s="3">
        <v>28</v>
      </c>
      <c r="AI3" s="3">
        <v>29</v>
      </c>
      <c r="AJ3" s="3">
        <v>30</v>
      </c>
      <c r="AK3" s="3">
        <v>31</v>
      </c>
    </row>
    <row r="4" spans="2:47" x14ac:dyDescent="0.25">
      <c r="B4" s="5" t="s">
        <v>0</v>
      </c>
      <c r="C4" s="3">
        <v>0.1</v>
      </c>
      <c r="F4" t="s">
        <v>0</v>
      </c>
      <c r="G4" s="4">
        <v>0</v>
      </c>
      <c r="H4" s="4">
        <f>G4+$C$5</f>
        <v>3.3333333333333335E-3</v>
      </c>
      <c r="I4" s="4">
        <f>H4+$C$5</f>
        <v>6.6666666666666671E-3</v>
      </c>
      <c r="J4" s="4">
        <f>I4+$C$5</f>
        <v>0.01</v>
      </c>
      <c r="K4" s="4">
        <f>J4+$C$5</f>
        <v>1.3333333333333334E-2</v>
      </c>
      <c r="L4" s="4">
        <f>K4+$C$5</f>
        <v>1.6666666666666666E-2</v>
      </c>
      <c r="M4" s="4">
        <f>L4+$C$5</f>
        <v>0.02</v>
      </c>
      <c r="N4" s="4">
        <f>M4+$C$5</f>
        <v>2.3333333333333334E-2</v>
      </c>
      <c r="O4" s="4">
        <f>N4+$C$5</f>
        <v>2.6666666666666668E-2</v>
      </c>
      <c r="P4" s="4">
        <f>O4+$C$5</f>
        <v>3.0000000000000002E-2</v>
      </c>
      <c r="Q4" s="4">
        <f>P4+$C$5</f>
        <v>3.3333333333333333E-2</v>
      </c>
      <c r="R4" s="4">
        <f>Q4+$C$5</f>
        <v>3.6666666666666667E-2</v>
      </c>
      <c r="S4" s="4">
        <f>R4+$C$5</f>
        <v>0.04</v>
      </c>
      <c r="T4" s="4">
        <f>S4+$C$5</f>
        <v>4.3333333333333335E-2</v>
      </c>
      <c r="U4" s="4">
        <f>T4+$C$5</f>
        <v>4.6666666666666669E-2</v>
      </c>
      <c r="V4" s="4">
        <f>U4+$C$5</f>
        <v>0.05</v>
      </c>
      <c r="W4" s="4">
        <f>V4+$C$5</f>
        <v>5.3333333333333337E-2</v>
      </c>
      <c r="X4" s="4">
        <f>W4+$C$5</f>
        <v>5.6666666666666671E-2</v>
      </c>
      <c r="Y4" s="4">
        <f>X4+$C$5</f>
        <v>6.0000000000000005E-2</v>
      </c>
      <c r="Z4" s="4">
        <f>Y4+$C$5</f>
        <v>6.3333333333333339E-2</v>
      </c>
      <c r="AA4" s="4">
        <f>Z4+$C$5</f>
        <v>6.6666666666666666E-2</v>
      </c>
      <c r="AB4" s="4">
        <f>AA4+$C$5</f>
        <v>6.9999999999999993E-2</v>
      </c>
      <c r="AC4" s="4">
        <f>AB4+$C$5</f>
        <v>7.333333333333332E-2</v>
      </c>
      <c r="AD4" s="4">
        <f>AC4+$C$5</f>
        <v>7.6666666666666647E-2</v>
      </c>
      <c r="AE4" s="4">
        <f>AD4+$C$5</f>
        <v>7.9999999999999974E-2</v>
      </c>
      <c r="AF4" s="4">
        <f>AE4+$C$5</f>
        <v>8.3333333333333301E-2</v>
      </c>
      <c r="AG4" s="4">
        <f>AF4+$C$5</f>
        <v>8.6666666666666628E-2</v>
      </c>
      <c r="AH4" s="4">
        <f>AG4+$C$5</f>
        <v>8.9999999999999955E-2</v>
      </c>
      <c r="AI4" s="4">
        <f>AH4+$C$5</f>
        <v>9.3333333333333282E-2</v>
      </c>
      <c r="AJ4" s="4">
        <f>AI4+$C$5</f>
        <v>9.6666666666666609E-2</v>
      </c>
      <c r="AK4" s="4">
        <f>AJ4+$C$5</f>
        <v>9.9999999999999936E-2</v>
      </c>
      <c r="AU4" s="2"/>
    </row>
    <row r="5" spans="2:47" x14ac:dyDescent="0.25">
      <c r="B5" s="5" t="s">
        <v>1</v>
      </c>
      <c r="C5" s="6">
        <f>C4/30</f>
        <v>3.3333333333333335E-3</v>
      </c>
      <c r="F5" t="s">
        <v>7</v>
      </c>
      <c r="G5" s="1">
        <f>(G8/C11)*C5+H5</f>
        <v>299.99997763108735</v>
      </c>
      <c r="H5">
        <v>293.33331096442066</v>
      </c>
      <c r="I5">
        <v>286.6666443611611</v>
      </c>
      <c r="J5">
        <v>279.99997782112894</v>
      </c>
      <c r="K5">
        <v>273.33331134396514</v>
      </c>
      <c r="L5">
        <v>266.66664492913264</v>
      </c>
      <c r="M5">
        <v>259.99997857591751</v>
      </c>
      <c r="N5">
        <v>253.3333122834313</v>
      </c>
      <c r="O5">
        <v>246.66664605061328</v>
      </c>
      <c r="P5">
        <v>239.99997987623377</v>
      </c>
      <c r="Q5">
        <v>233.33331375889719</v>
      </c>
      <c r="R5">
        <v>226.66664769704656</v>
      </c>
      <c r="S5">
        <v>219.9999816889673</v>
      </c>
      <c r="T5">
        <v>213.33331573279273</v>
      </c>
      <c r="U5">
        <v>206.66664982650872</v>
      </c>
      <c r="V5">
        <v>199.99998396796005</v>
      </c>
      <c r="W5">
        <v>193.33331815485587</v>
      </c>
      <c r="X5">
        <v>186.6666523847768</v>
      </c>
      <c r="Y5">
        <v>179.99998665518126</v>
      </c>
      <c r="Z5">
        <v>173.33332096341309</v>
      </c>
      <c r="AA5">
        <v>166.66665530670878</v>
      </c>
      <c r="AB5">
        <v>159.9999896822055</v>
      </c>
      <c r="AC5">
        <v>153.33332408694912</v>
      </c>
      <c r="AD5">
        <v>146.66665851790265</v>
      </c>
      <c r="AE5">
        <v>139.99999297195473</v>
      </c>
      <c r="AF5">
        <v>133.33332744592857</v>
      </c>
      <c r="AG5">
        <v>126.66666193659087</v>
      </c>
      <c r="AH5">
        <v>119.99999644066111</v>
      </c>
      <c r="AI5">
        <v>113.3333309548207</v>
      </c>
      <c r="AJ5">
        <v>106.66666547572241</v>
      </c>
      <c r="AK5" s="1">
        <f>C15</f>
        <v>100</v>
      </c>
    </row>
    <row r="6" spans="2:47" x14ac:dyDescent="0.25">
      <c r="B6" s="5" t="s">
        <v>2</v>
      </c>
      <c r="C6" s="6">
        <f>(C9*C10*C5^2)/(2*C11)</f>
        <v>0.4333333333333334</v>
      </c>
    </row>
    <row r="7" spans="2:47" x14ac:dyDescent="0.25">
      <c r="B7" s="5" t="s">
        <v>3</v>
      </c>
      <c r="C7" s="3">
        <v>5000</v>
      </c>
      <c r="D7">
        <v>5000.2333333333345</v>
      </c>
      <c r="F7" t="s">
        <v>10</v>
      </c>
      <c r="H7">
        <f>H5+(($C$11*$C$6)/($C$10*$C$9))*((I5-2*H5+G5)/($C$5^2))</f>
        <v>293.33331099612423</v>
      </c>
      <c r="I7">
        <f t="shared" ref="I5:AJ7" si="0">I5+(($C$11*$C$6)/($C$10*$C$9))*((J5-2*I5+H5)/($C$5^2))</f>
        <v>286.6666443927748</v>
      </c>
      <c r="J7">
        <f t="shared" si="0"/>
        <v>279.99997785256312</v>
      </c>
      <c r="K7">
        <f t="shared" si="0"/>
        <v>273.33331137513079</v>
      </c>
      <c r="L7">
        <f t="shared" si="0"/>
        <v>266.66664495994132</v>
      </c>
      <c r="M7">
        <f t="shared" si="0"/>
        <v>259.99997860628196</v>
      </c>
      <c r="N7">
        <f t="shared" si="0"/>
        <v>253.3333123132654</v>
      </c>
      <c r="O7">
        <f t="shared" si="0"/>
        <v>246.66664607983253</v>
      </c>
      <c r="P7">
        <f t="shared" si="0"/>
        <v>239.99997990475524</v>
      </c>
      <c r="Q7">
        <f t="shared" si="0"/>
        <v>233.33331378664016</v>
      </c>
      <c r="R7">
        <f t="shared" si="0"/>
        <v>226.66664772393224</v>
      </c>
      <c r="S7">
        <f t="shared" si="0"/>
        <v>219.99998171491964</v>
      </c>
      <c r="T7">
        <f t="shared" si="0"/>
        <v>213.33331575773801</v>
      </c>
      <c r="U7">
        <f t="shared" si="0"/>
        <v>206.66664985037639</v>
      </c>
      <c r="V7">
        <f t="shared" si="0"/>
        <v>199.9999839906823</v>
      </c>
      <c r="W7">
        <f t="shared" si="0"/>
        <v>193.33331817636844</v>
      </c>
      <c r="X7">
        <f t="shared" si="0"/>
        <v>186.66665240501857</v>
      </c>
      <c r="Y7">
        <f t="shared" si="0"/>
        <v>179.99998667409494</v>
      </c>
      <c r="Z7">
        <f t="shared" si="0"/>
        <v>173.33332098094502</v>
      </c>
      <c r="AA7">
        <f t="shared" si="0"/>
        <v>166.66665532280928</v>
      </c>
      <c r="AB7">
        <f t="shared" si="0"/>
        <v>159.99998969682895</v>
      </c>
      <c r="AC7">
        <f t="shared" si="0"/>
        <v>153.33332410005409</v>
      </c>
      <c r="AD7">
        <f t="shared" si="0"/>
        <v>146.66665852945192</v>
      </c>
      <c r="AE7">
        <f t="shared" si="0"/>
        <v>139.99999298191563</v>
      </c>
      <c r="AF7">
        <f t="shared" si="0"/>
        <v>133.33332745427279</v>
      </c>
      <c r="AG7">
        <f t="shared" si="0"/>
        <v>126.66666194329484</v>
      </c>
      <c r="AH7">
        <f t="shared" si="0"/>
        <v>119.99999644570579</v>
      </c>
      <c r="AI7">
        <f t="shared" si="0"/>
        <v>113.33333095819177</v>
      </c>
      <c r="AJ7">
        <f t="shared" si="0"/>
        <v>106.66666547741035</v>
      </c>
    </row>
    <row r="8" spans="2:47" x14ac:dyDescent="0.25">
      <c r="C8" s="1"/>
      <c r="F8" t="s">
        <v>11</v>
      </c>
      <c r="G8">
        <f>C17</f>
        <v>92000</v>
      </c>
      <c r="H8">
        <f>-$C$11*((H5-G5)/$C$5)</f>
        <v>92000.000000000247</v>
      </c>
      <c r="I8">
        <f t="shared" ref="I8:AK8" si="1">-$C$11*((I5-H5)/$C$5)</f>
        <v>91999.999124981885</v>
      </c>
      <c r="J8">
        <f t="shared" si="1"/>
        <v>91999.998252443896</v>
      </c>
      <c r="K8">
        <f t="shared" si="1"/>
        <v>91999.997384860442</v>
      </c>
      <c r="L8">
        <f t="shared" si="1"/>
        <v>91999.996524688366</v>
      </c>
      <c r="M8">
        <f t="shared" si="1"/>
        <v>91999.995674368853</v>
      </c>
      <c r="N8">
        <f t="shared" si="1"/>
        <v>91999.994836309721</v>
      </c>
      <c r="O8">
        <f t="shared" si="1"/>
        <v>91999.994012888623</v>
      </c>
      <c r="P8">
        <f t="shared" si="1"/>
        <v>91999.993206437299</v>
      </c>
      <c r="Q8">
        <f t="shared" si="1"/>
        <v>91999.992419244736</v>
      </c>
      <c r="R8">
        <f t="shared" si="1"/>
        <v>91999.991653538746</v>
      </c>
      <c r="S8">
        <f t="shared" si="1"/>
        <v>91999.990911493791</v>
      </c>
      <c r="T8">
        <f t="shared" si="1"/>
        <v>91999.990195209044</v>
      </c>
      <c r="U8">
        <f t="shared" si="1"/>
        <v>91999.989506719328</v>
      </c>
      <c r="V8">
        <f t="shared" si="1"/>
        <v>91999.988847971617</v>
      </c>
      <c r="W8">
        <f t="shared" si="1"/>
        <v>91999.988220837593</v>
      </c>
      <c r="X8">
        <f t="shared" si="1"/>
        <v>91999.987627091265</v>
      </c>
      <c r="Y8">
        <f t="shared" si="1"/>
        <v>91999.987068418384</v>
      </c>
      <c r="Z8">
        <f t="shared" si="1"/>
        <v>91999.986546400789</v>
      </c>
      <c r="AA8">
        <f t="shared" si="1"/>
        <v>91999.986062519471</v>
      </c>
      <c r="AB8">
        <f t="shared" si="1"/>
        <v>91999.985618145278</v>
      </c>
      <c r="AC8">
        <f t="shared" si="1"/>
        <v>91999.985214537985</v>
      </c>
      <c r="AD8">
        <f t="shared" si="1"/>
        <v>91999.984852841313</v>
      </c>
      <c r="AE8">
        <f t="shared" si="1"/>
        <v>91999.984534081304</v>
      </c>
      <c r="AF8">
        <f t="shared" si="1"/>
        <v>91999.984259160876</v>
      </c>
      <c r="AG8">
        <f t="shared" si="1"/>
        <v>91999.984028860315</v>
      </c>
      <c r="AH8">
        <f t="shared" si="1"/>
        <v>91999.98384383072</v>
      </c>
      <c r="AI8">
        <f t="shared" si="1"/>
        <v>91999.983704597675</v>
      </c>
      <c r="AJ8">
        <f t="shared" si="1"/>
        <v>91999.983611556323</v>
      </c>
      <c r="AK8">
        <f>-$C$11*((AK5-AJ5)/$C$5)</f>
        <v>91999.983564969269</v>
      </c>
    </row>
    <row r="9" spans="2:47" x14ac:dyDescent="0.25">
      <c r="B9" s="5" t="s">
        <v>4</v>
      </c>
      <c r="C9" s="3">
        <v>460</v>
      </c>
    </row>
    <row r="10" spans="2:47" x14ac:dyDescent="0.25">
      <c r="B10" s="5" t="s">
        <v>6</v>
      </c>
      <c r="C10" s="3">
        <v>7800</v>
      </c>
    </row>
    <row r="11" spans="2:47" x14ac:dyDescent="0.25">
      <c r="B11" s="5" t="s">
        <v>5</v>
      </c>
      <c r="C11" s="3">
        <v>46</v>
      </c>
    </row>
    <row r="13" spans="2:47" x14ac:dyDescent="0.25">
      <c r="F13" s="3">
        <v>1</v>
      </c>
      <c r="G13" s="3">
        <v>2</v>
      </c>
      <c r="H13" s="3">
        <v>3</v>
      </c>
      <c r="I13" s="3">
        <v>4</v>
      </c>
      <c r="J13" s="3">
        <v>5</v>
      </c>
      <c r="K13" s="3">
        <v>6</v>
      </c>
      <c r="L13" s="3">
        <v>7</v>
      </c>
      <c r="M13" s="3">
        <v>8</v>
      </c>
      <c r="N13" s="3">
        <v>9</v>
      </c>
      <c r="O13" s="3">
        <v>10</v>
      </c>
      <c r="P13" s="3">
        <v>11</v>
      </c>
      <c r="Q13" s="3">
        <v>12</v>
      </c>
      <c r="R13" s="3">
        <v>13</v>
      </c>
      <c r="S13" s="3">
        <v>14</v>
      </c>
      <c r="T13" s="3">
        <v>15</v>
      </c>
      <c r="U13" s="3">
        <v>16</v>
      </c>
      <c r="V13" s="3">
        <v>17</v>
      </c>
      <c r="W13" s="3">
        <v>18</v>
      </c>
      <c r="X13" s="3">
        <v>19</v>
      </c>
      <c r="Y13" s="3">
        <v>20</v>
      </c>
      <c r="Z13" s="3">
        <v>21</v>
      </c>
      <c r="AA13" s="3">
        <v>22</v>
      </c>
      <c r="AB13" s="3">
        <v>23</v>
      </c>
      <c r="AC13" s="3">
        <v>24</v>
      </c>
      <c r="AD13" s="3">
        <v>25</v>
      </c>
      <c r="AE13" s="3">
        <v>26</v>
      </c>
      <c r="AF13" s="3">
        <v>27</v>
      </c>
      <c r="AG13" s="3">
        <v>28</v>
      </c>
      <c r="AH13" s="3">
        <v>29</v>
      </c>
      <c r="AI13" s="3">
        <v>30</v>
      </c>
      <c r="AJ13" s="3">
        <v>31</v>
      </c>
    </row>
    <row r="14" spans="2:47" x14ac:dyDescent="0.25">
      <c r="B14" s="5" t="s">
        <v>8</v>
      </c>
      <c r="C14" s="5">
        <v>300</v>
      </c>
      <c r="E14" t="s">
        <v>0</v>
      </c>
      <c r="F14" s="4">
        <v>0</v>
      </c>
      <c r="G14" s="4">
        <f>F14+$C$5</f>
        <v>3.3333333333333335E-3</v>
      </c>
      <c r="H14" s="4">
        <f t="shared" ref="H14:AJ14" si="2">G14+$C$5</f>
        <v>6.6666666666666671E-3</v>
      </c>
      <c r="I14" s="4">
        <f t="shared" si="2"/>
        <v>0.01</v>
      </c>
      <c r="J14" s="4">
        <f t="shared" si="2"/>
        <v>1.3333333333333334E-2</v>
      </c>
      <c r="K14" s="4">
        <f t="shared" si="2"/>
        <v>1.6666666666666666E-2</v>
      </c>
      <c r="L14" s="4">
        <f t="shared" si="2"/>
        <v>0.02</v>
      </c>
      <c r="M14" s="4">
        <f t="shared" si="2"/>
        <v>2.3333333333333334E-2</v>
      </c>
      <c r="N14" s="4">
        <f t="shared" si="2"/>
        <v>2.6666666666666668E-2</v>
      </c>
      <c r="O14" s="4">
        <f t="shared" si="2"/>
        <v>3.0000000000000002E-2</v>
      </c>
      <c r="P14" s="4">
        <f t="shared" si="2"/>
        <v>3.3333333333333333E-2</v>
      </c>
      <c r="Q14" s="4">
        <f t="shared" si="2"/>
        <v>3.6666666666666667E-2</v>
      </c>
      <c r="R14" s="4">
        <f t="shared" si="2"/>
        <v>0.04</v>
      </c>
      <c r="S14" s="4">
        <f t="shared" si="2"/>
        <v>4.3333333333333335E-2</v>
      </c>
      <c r="T14" s="4">
        <f t="shared" si="2"/>
        <v>4.6666666666666669E-2</v>
      </c>
      <c r="U14" s="4">
        <f t="shared" si="2"/>
        <v>0.05</v>
      </c>
      <c r="V14" s="4">
        <f t="shared" si="2"/>
        <v>5.3333333333333337E-2</v>
      </c>
      <c r="W14" s="4">
        <f t="shared" si="2"/>
        <v>5.6666666666666671E-2</v>
      </c>
      <c r="X14" s="4">
        <f t="shared" si="2"/>
        <v>6.0000000000000005E-2</v>
      </c>
      <c r="Y14" s="4">
        <f t="shared" si="2"/>
        <v>6.3333333333333339E-2</v>
      </c>
      <c r="Z14" s="4">
        <f t="shared" si="2"/>
        <v>6.6666666666666666E-2</v>
      </c>
      <c r="AA14" s="4">
        <f t="shared" si="2"/>
        <v>6.9999999999999993E-2</v>
      </c>
      <c r="AB14" s="4">
        <f t="shared" si="2"/>
        <v>7.333333333333332E-2</v>
      </c>
      <c r="AC14" s="4">
        <f t="shared" si="2"/>
        <v>7.6666666666666647E-2</v>
      </c>
      <c r="AD14" s="4">
        <f t="shared" si="2"/>
        <v>7.9999999999999974E-2</v>
      </c>
      <c r="AE14" s="4">
        <f t="shared" si="2"/>
        <v>8.3333333333333301E-2</v>
      </c>
      <c r="AF14" s="4">
        <f t="shared" si="2"/>
        <v>8.6666666666666628E-2</v>
      </c>
      <c r="AG14" s="4">
        <f t="shared" si="2"/>
        <v>8.9999999999999955E-2</v>
      </c>
      <c r="AH14" s="4">
        <f t="shared" si="2"/>
        <v>9.3333333333333282E-2</v>
      </c>
      <c r="AI14" s="4">
        <f t="shared" si="2"/>
        <v>9.6666666666666609E-2</v>
      </c>
      <c r="AJ14" s="4">
        <f t="shared" si="2"/>
        <v>9.9999999999999936E-2</v>
      </c>
    </row>
    <row r="15" spans="2:47" x14ac:dyDescent="0.25">
      <c r="B15" s="5" t="s">
        <v>9</v>
      </c>
      <c r="C15" s="5">
        <v>100</v>
      </c>
      <c r="E15" t="s">
        <v>7</v>
      </c>
      <c r="F15" s="1">
        <f>C14</f>
        <v>300</v>
      </c>
      <c r="G15" s="1">
        <v>293.33333333333297</v>
      </c>
      <c r="H15" s="1">
        <v>286.66666666666595</v>
      </c>
      <c r="I15" s="1">
        <v>279.99999999999898</v>
      </c>
      <c r="J15" s="1">
        <v>273.33333333333206</v>
      </c>
      <c r="K15" s="1">
        <v>266.66666666666515</v>
      </c>
      <c r="L15" s="1">
        <v>259.99999999999829</v>
      </c>
      <c r="M15" s="1">
        <v>253.3333333333315</v>
      </c>
      <c r="N15" s="1">
        <v>246.66666666666472</v>
      </c>
      <c r="O15" s="1">
        <v>239.99999999999795</v>
      </c>
      <c r="P15" s="1">
        <v>233.33333333333121</v>
      </c>
      <c r="Q15" s="1">
        <v>226.6666666666645</v>
      </c>
      <c r="R15" s="1">
        <v>219.99999999999778</v>
      </c>
      <c r="S15" s="1">
        <v>213.3333333333311</v>
      </c>
      <c r="T15" s="1">
        <v>206.66666666666444</v>
      </c>
      <c r="U15" s="1">
        <v>199.99999999999778</v>
      </c>
      <c r="V15" s="1">
        <v>193.33333333333115</v>
      </c>
      <c r="W15" s="1">
        <v>186.66666666666453</v>
      </c>
      <c r="X15" s="1">
        <v>179.99999999999793</v>
      </c>
      <c r="Y15" s="1">
        <v>173.33333333333132</v>
      </c>
      <c r="Z15" s="1">
        <v>166.66666666666475</v>
      </c>
      <c r="AA15" s="1">
        <v>159.99999999999821</v>
      </c>
      <c r="AB15" s="1">
        <v>153.33333333333167</v>
      </c>
      <c r="AC15" s="1">
        <v>146.66666666666515</v>
      </c>
      <c r="AD15" s="1">
        <v>139.99999999999866</v>
      </c>
      <c r="AE15" s="1">
        <v>133.33333333333218</v>
      </c>
      <c r="AF15" s="1">
        <v>126.66666666666573</v>
      </c>
      <c r="AG15" s="1">
        <v>119.99999999999929</v>
      </c>
      <c r="AH15" s="1">
        <v>113.33333333333286</v>
      </c>
      <c r="AI15" s="1">
        <v>106.66666666666643</v>
      </c>
      <c r="AJ15" s="1">
        <f>C15</f>
        <v>100</v>
      </c>
    </row>
    <row r="17" spans="2:35" x14ac:dyDescent="0.25">
      <c r="B17" s="5" t="s">
        <v>12</v>
      </c>
      <c r="C17" s="3">
        <v>92000</v>
      </c>
      <c r="E17" t="s">
        <v>10</v>
      </c>
      <c r="G17">
        <f>G15+(($C$11*$C$6)/($C$10*$C$9))*((H15-2*G15+F15)/($C$5^2))</f>
        <v>293.33333333333297</v>
      </c>
      <c r="H17">
        <f t="shared" ref="H17:AI17" si="3">H15+(($C$11*$C$6)/($C$10*$C$9))*((I15-2*H15+G15)/($C$5^2))</f>
        <v>286.66666666666595</v>
      </c>
      <c r="I17">
        <f t="shared" si="3"/>
        <v>279.99999999999898</v>
      </c>
      <c r="J17">
        <f t="shared" si="3"/>
        <v>273.33333333333206</v>
      </c>
      <c r="K17">
        <f t="shared" si="3"/>
        <v>266.66666666666515</v>
      </c>
      <c r="L17">
        <f t="shared" si="3"/>
        <v>259.99999999999829</v>
      </c>
      <c r="M17">
        <f t="shared" si="3"/>
        <v>253.3333333333315</v>
      </c>
      <c r="N17">
        <f t="shared" si="3"/>
        <v>246.66666666666472</v>
      </c>
      <c r="O17">
        <f t="shared" si="3"/>
        <v>239.99999999999795</v>
      </c>
      <c r="P17">
        <f t="shared" si="3"/>
        <v>233.33333333333121</v>
      </c>
      <c r="Q17">
        <f t="shared" si="3"/>
        <v>226.6666666666645</v>
      </c>
      <c r="R17">
        <f t="shared" si="3"/>
        <v>219.99999999999778</v>
      </c>
      <c r="S17">
        <f t="shared" si="3"/>
        <v>213.3333333333311</v>
      </c>
      <c r="T17">
        <f t="shared" si="3"/>
        <v>206.66666666666444</v>
      </c>
      <c r="U17">
        <f t="shared" si="3"/>
        <v>199.99999999999778</v>
      </c>
      <c r="V17">
        <f t="shared" si="3"/>
        <v>193.33333333333115</v>
      </c>
      <c r="W17">
        <f t="shared" si="3"/>
        <v>186.66666666666453</v>
      </c>
      <c r="X17">
        <f t="shared" si="3"/>
        <v>179.99999999999793</v>
      </c>
      <c r="Y17">
        <f t="shared" si="3"/>
        <v>173.33333333333132</v>
      </c>
      <c r="Z17">
        <f t="shared" si="3"/>
        <v>166.66666666666475</v>
      </c>
      <c r="AA17">
        <f t="shared" si="3"/>
        <v>159.99999999999821</v>
      </c>
      <c r="AB17">
        <f t="shared" si="3"/>
        <v>153.33333333333167</v>
      </c>
      <c r="AC17">
        <f t="shared" si="3"/>
        <v>146.66666666666515</v>
      </c>
      <c r="AD17">
        <f t="shared" si="3"/>
        <v>139.99999999999866</v>
      </c>
      <c r="AE17">
        <f t="shared" si="3"/>
        <v>133.33333333333218</v>
      </c>
      <c r="AF17">
        <f t="shared" si="3"/>
        <v>126.66666666666573</v>
      </c>
      <c r="AG17">
        <f t="shared" si="3"/>
        <v>119.99999999999929</v>
      </c>
      <c r="AH17">
        <f t="shared" si="3"/>
        <v>113.33333333333286</v>
      </c>
      <c r="AI17">
        <f t="shared" si="3"/>
        <v>106.66666666666643</v>
      </c>
    </row>
    <row r="18" spans="2:35" x14ac:dyDescent="0.25">
      <c r="B18" s="5" t="s">
        <v>9</v>
      </c>
      <c r="C18" s="3">
        <v>100</v>
      </c>
    </row>
  </sheetData>
  <conditionalFormatting sqref="F15:AJ15">
    <cfRule type="colorScale" priority="4">
      <colorScale>
        <cfvo type="min"/>
        <cfvo type="percentile" val="50"/>
        <cfvo type="max"/>
        <color theme="4"/>
        <color rgb="FFFFEB84"/>
        <color rgb="FFFF0000"/>
      </colorScale>
    </cfRule>
  </conditionalFormatting>
  <conditionalFormatting sqref="G5 AK5">
    <cfRule type="colorScale" priority="3">
      <colorScale>
        <cfvo type="min"/>
        <cfvo type="percentile" val="50"/>
        <cfvo type="max"/>
        <color theme="4"/>
        <color rgb="FFFFEB84"/>
        <color rgb="FFFF0000"/>
      </colorScale>
    </cfRule>
  </conditionalFormatting>
  <conditionalFormatting sqref="G5 AK5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G5:AK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</dc:creator>
  <cp:lastModifiedBy>Илья</cp:lastModifiedBy>
  <dcterms:created xsi:type="dcterms:W3CDTF">2021-09-17T09:14:20Z</dcterms:created>
  <dcterms:modified xsi:type="dcterms:W3CDTF">2021-09-17T16:29:37Z</dcterms:modified>
</cp:coreProperties>
</file>